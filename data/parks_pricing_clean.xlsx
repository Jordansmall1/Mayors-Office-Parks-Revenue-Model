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indygov-my.sharepoint.com/personal/jordan_small_indy_gov/Documents/"/>
    </mc:Choice>
  </mc:AlternateContent>
  <xr:revisionPtr revIDLastSave="0" documentId="8_{8C0DB87F-1F70-450A-B35A-29EE8D251DAA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Assumptions" sheetId="2" r:id="rId1"/>
    <sheet name="Elasticty Model" sheetId="3" r:id="rId2"/>
    <sheet name="Price Tester" sheetId="5" r:id="rId3"/>
    <sheet name="cost recovery " sheetId="7" r:id="rId4"/>
    <sheet name="regression output1" sheetId="13" r:id="rId5"/>
    <sheet name="regression data1" sheetId="14" r:id="rId6"/>
    <sheet name="regression data" sheetId="12" r:id="rId7"/>
    <sheet name="Sheet1" sheetId="8" r:id="rId8"/>
    <sheet name="Sheet2" sheetId="9" r:id="rId9"/>
    <sheet name="Sheet3" sheetId="10" r:id="rId10"/>
    <sheet name="Sheet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J117" i="3"/>
  <c r="B23" i="5"/>
  <c r="J209" i="7"/>
  <c r="H209" i="7"/>
  <c r="D209" i="7"/>
  <c r="J208" i="7"/>
  <c r="H208" i="7"/>
  <c r="D208" i="7"/>
  <c r="J207" i="7"/>
  <c r="H207" i="7"/>
  <c r="D207" i="7"/>
  <c r="K206" i="7"/>
  <c r="J206" i="7"/>
  <c r="I206" i="7"/>
  <c r="H206" i="7"/>
  <c r="J205" i="7"/>
  <c r="H205" i="7"/>
  <c r="D205" i="7"/>
  <c r="J204" i="7"/>
  <c r="H204" i="7"/>
  <c r="D204" i="7"/>
  <c r="J203" i="7"/>
  <c r="H203" i="7"/>
  <c r="D203" i="7"/>
  <c r="J202" i="7"/>
  <c r="H202" i="7"/>
  <c r="D202" i="7"/>
  <c r="J201" i="7"/>
  <c r="H201" i="7"/>
  <c r="D201" i="7"/>
  <c r="K200" i="7"/>
  <c r="J200" i="7"/>
  <c r="I200" i="7"/>
  <c r="H200" i="7"/>
  <c r="J199" i="7"/>
  <c r="H199" i="7"/>
  <c r="D199" i="7"/>
  <c r="J198" i="7"/>
  <c r="H198" i="7"/>
  <c r="D198" i="7"/>
  <c r="J197" i="7"/>
  <c r="H197" i="7"/>
  <c r="D197" i="7"/>
  <c r="J196" i="7"/>
  <c r="H196" i="7"/>
  <c r="D196" i="7"/>
  <c r="J195" i="7"/>
  <c r="H195" i="7"/>
  <c r="D195" i="7"/>
  <c r="J194" i="7"/>
  <c r="H194" i="7"/>
  <c r="D194" i="7"/>
  <c r="J193" i="7"/>
  <c r="H193" i="7"/>
  <c r="D193" i="7"/>
  <c r="J192" i="7"/>
  <c r="H192" i="7"/>
  <c r="D192" i="7"/>
  <c r="J191" i="7"/>
  <c r="H191" i="7"/>
  <c r="D191" i="7"/>
  <c r="K190" i="7"/>
  <c r="J190" i="7"/>
  <c r="I190" i="7"/>
  <c r="H190" i="7"/>
  <c r="J189" i="7"/>
  <c r="H189" i="7"/>
  <c r="D189" i="7"/>
  <c r="J188" i="7"/>
  <c r="H188" i="7"/>
  <c r="D188" i="7"/>
  <c r="J187" i="7"/>
  <c r="H187" i="7"/>
  <c r="D187" i="7"/>
  <c r="J186" i="7"/>
  <c r="H186" i="7"/>
  <c r="D186" i="7"/>
  <c r="J185" i="7"/>
  <c r="H185" i="7"/>
  <c r="D185" i="7"/>
  <c r="K184" i="7"/>
  <c r="J184" i="7"/>
  <c r="I184" i="7"/>
  <c r="H184" i="7"/>
  <c r="J183" i="7"/>
  <c r="H183" i="7"/>
  <c r="D183" i="7"/>
  <c r="K182" i="7"/>
  <c r="J182" i="7"/>
  <c r="I182" i="7"/>
  <c r="H182" i="7"/>
  <c r="J181" i="7"/>
  <c r="H181" i="7"/>
  <c r="D181" i="7"/>
  <c r="J180" i="7"/>
  <c r="H180" i="7"/>
  <c r="D180" i="7"/>
  <c r="J179" i="7"/>
  <c r="H179" i="7"/>
  <c r="D179" i="7"/>
  <c r="J178" i="7"/>
  <c r="H178" i="7"/>
  <c r="D178" i="7"/>
  <c r="J177" i="7"/>
  <c r="H177" i="7"/>
  <c r="D177" i="7"/>
  <c r="K176" i="7"/>
  <c r="J176" i="7"/>
  <c r="I176" i="7"/>
  <c r="H176" i="7"/>
  <c r="J175" i="7"/>
  <c r="H175" i="7"/>
  <c r="D175" i="7"/>
  <c r="J174" i="7"/>
  <c r="H174" i="7"/>
  <c r="D174" i="7"/>
  <c r="J173" i="7"/>
  <c r="H173" i="7"/>
  <c r="D173" i="7"/>
  <c r="J172" i="7"/>
  <c r="H172" i="7"/>
  <c r="D172" i="7"/>
  <c r="J171" i="7"/>
  <c r="H171" i="7"/>
  <c r="D171" i="7"/>
  <c r="J170" i="7"/>
  <c r="H170" i="7"/>
  <c r="D170" i="7"/>
  <c r="J169" i="7"/>
  <c r="H169" i="7"/>
  <c r="D169" i="7"/>
  <c r="J168" i="7"/>
  <c r="H168" i="7"/>
  <c r="D168" i="7"/>
  <c r="J167" i="7"/>
  <c r="H167" i="7"/>
  <c r="D167" i="7"/>
  <c r="K166" i="7"/>
  <c r="J166" i="7"/>
  <c r="I166" i="7"/>
  <c r="H166" i="7"/>
  <c r="J165" i="7"/>
  <c r="H165" i="7"/>
  <c r="D165" i="7"/>
  <c r="K164" i="7"/>
  <c r="J164" i="7"/>
  <c r="I164" i="7"/>
  <c r="H164" i="7"/>
  <c r="J163" i="7"/>
  <c r="H163" i="7"/>
  <c r="D163" i="7"/>
  <c r="K162" i="7"/>
  <c r="J162" i="7"/>
  <c r="I162" i="7"/>
  <c r="H162" i="7"/>
  <c r="J161" i="7"/>
  <c r="H161" i="7"/>
  <c r="D161" i="7"/>
  <c r="J160" i="7"/>
  <c r="H160" i="7"/>
  <c r="D160" i="7"/>
  <c r="J159" i="7"/>
  <c r="H159" i="7"/>
  <c r="D159" i="7"/>
  <c r="J158" i="7"/>
  <c r="H158" i="7"/>
  <c r="D158" i="7"/>
  <c r="K157" i="7"/>
  <c r="J157" i="7"/>
  <c r="I157" i="7"/>
  <c r="H157" i="7"/>
  <c r="J156" i="7"/>
  <c r="H156" i="7"/>
  <c r="D156" i="7"/>
  <c r="J155" i="7"/>
  <c r="H155" i="7"/>
  <c r="D155" i="7"/>
  <c r="J154" i="7"/>
  <c r="H154" i="7"/>
  <c r="D154" i="7"/>
  <c r="J153" i="7"/>
  <c r="H153" i="7"/>
  <c r="D153" i="7"/>
  <c r="K152" i="7"/>
  <c r="J152" i="7"/>
  <c r="I152" i="7"/>
  <c r="H152" i="7"/>
  <c r="J151" i="7"/>
  <c r="H151" i="7"/>
  <c r="D151" i="7"/>
  <c r="J150" i="7"/>
  <c r="H150" i="7"/>
  <c r="D150" i="7"/>
  <c r="J149" i="7"/>
  <c r="H149" i="7"/>
  <c r="D149" i="7"/>
  <c r="J148" i="7"/>
  <c r="H148" i="7"/>
  <c r="D148" i="7"/>
  <c r="J147" i="7"/>
  <c r="H147" i="7"/>
  <c r="D147" i="7"/>
  <c r="J146" i="7"/>
  <c r="H146" i="7"/>
  <c r="D146" i="7"/>
  <c r="K145" i="7"/>
  <c r="J145" i="7"/>
  <c r="I145" i="7"/>
  <c r="H145" i="7"/>
  <c r="J144" i="7"/>
  <c r="H144" i="7"/>
  <c r="D144" i="7"/>
  <c r="J143" i="7"/>
  <c r="H143" i="7"/>
  <c r="D143" i="7"/>
  <c r="J142" i="7"/>
  <c r="H142" i="7"/>
  <c r="D142" i="7"/>
  <c r="K141" i="7"/>
  <c r="J141" i="7"/>
  <c r="I141" i="7"/>
  <c r="H141" i="7"/>
  <c r="K140" i="7"/>
  <c r="J140" i="7"/>
  <c r="I140" i="7"/>
  <c r="H140" i="7"/>
  <c r="K139" i="7"/>
  <c r="J139" i="7"/>
  <c r="I139" i="7"/>
  <c r="H139" i="7"/>
  <c r="K138" i="7"/>
  <c r="J138" i="7"/>
  <c r="I138" i="7"/>
  <c r="H138" i="7"/>
  <c r="J137" i="7"/>
  <c r="H137" i="7"/>
  <c r="D137" i="7"/>
  <c r="J136" i="7"/>
  <c r="H136" i="7"/>
  <c r="D136" i="7"/>
  <c r="J135" i="7"/>
  <c r="H135" i="7"/>
  <c r="D135" i="7"/>
  <c r="J134" i="7"/>
  <c r="H134" i="7"/>
  <c r="D134" i="7"/>
  <c r="J133" i="7"/>
  <c r="H133" i="7"/>
  <c r="D133" i="7"/>
  <c r="J132" i="7"/>
  <c r="H132" i="7"/>
  <c r="D132" i="7"/>
  <c r="K131" i="7"/>
  <c r="J131" i="7"/>
  <c r="I131" i="7"/>
  <c r="H131" i="7"/>
  <c r="J130" i="7"/>
  <c r="H130" i="7"/>
  <c r="D130" i="7"/>
  <c r="J129" i="7"/>
  <c r="H129" i="7"/>
  <c r="D129" i="7"/>
  <c r="J128" i="7"/>
  <c r="H128" i="7"/>
  <c r="D128" i="7"/>
  <c r="K127" i="7"/>
  <c r="J127" i="7"/>
  <c r="I127" i="7"/>
  <c r="H127" i="7"/>
  <c r="J126" i="7"/>
  <c r="H126" i="7"/>
  <c r="D126" i="7"/>
  <c r="J125" i="7"/>
  <c r="H125" i="7"/>
  <c r="D125" i="7"/>
  <c r="J124" i="7"/>
  <c r="H124" i="7"/>
  <c r="D124" i="7"/>
  <c r="J123" i="7"/>
  <c r="H123" i="7"/>
  <c r="D123" i="7"/>
  <c r="J122" i="7"/>
  <c r="H122" i="7"/>
  <c r="D122" i="7"/>
  <c r="J121" i="7"/>
  <c r="H121" i="7"/>
  <c r="D121" i="7"/>
  <c r="J120" i="7"/>
  <c r="H120" i="7"/>
  <c r="D120" i="7"/>
  <c r="K119" i="7"/>
  <c r="J119" i="7"/>
  <c r="I119" i="7"/>
  <c r="H119" i="7"/>
  <c r="J118" i="7"/>
  <c r="H118" i="7"/>
  <c r="D118" i="7"/>
  <c r="J117" i="7"/>
  <c r="H117" i="7"/>
  <c r="D117" i="7"/>
  <c r="J116" i="7"/>
  <c r="H116" i="7"/>
  <c r="D116" i="7"/>
  <c r="J115" i="7"/>
  <c r="H115" i="7"/>
  <c r="D115" i="7"/>
  <c r="K114" i="7"/>
  <c r="J114" i="7"/>
  <c r="I114" i="7"/>
  <c r="H114" i="7"/>
  <c r="J113" i="7"/>
  <c r="H113" i="7"/>
  <c r="D113" i="7"/>
  <c r="J112" i="7"/>
  <c r="H112" i="7"/>
  <c r="D112" i="7"/>
  <c r="J111" i="7"/>
  <c r="H111" i="7"/>
  <c r="D111" i="7"/>
  <c r="J110" i="7"/>
  <c r="H110" i="7"/>
  <c r="D110" i="7"/>
  <c r="J109" i="7"/>
  <c r="H109" i="7"/>
  <c r="D109" i="7"/>
  <c r="J108" i="7"/>
  <c r="H108" i="7"/>
  <c r="D108" i="7"/>
  <c r="J107" i="7"/>
  <c r="H107" i="7"/>
  <c r="D107" i="7"/>
  <c r="J106" i="7"/>
  <c r="H106" i="7"/>
  <c r="D106" i="7"/>
  <c r="K105" i="7"/>
  <c r="J105" i="7"/>
  <c r="I105" i="7"/>
  <c r="H105" i="7"/>
  <c r="J104" i="7"/>
  <c r="H104" i="7"/>
  <c r="D104" i="7"/>
  <c r="J103" i="7"/>
  <c r="H103" i="7"/>
  <c r="D103" i="7"/>
  <c r="J102" i="7"/>
  <c r="H102" i="7"/>
  <c r="D102" i="7"/>
  <c r="J101" i="7"/>
  <c r="H101" i="7"/>
  <c r="D101" i="7"/>
  <c r="J100" i="7"/>
  <c r="H100" i="7"/>
  <c r="D100" i="7"/>
  <c r="K99" i="7"/>
  <c r="J99" i="7"/>
  <c r="I99" i="7"/>
  <c r="H99" i="7"/>
  <c r="K98" i="7"/>
  <c r="J98" i="7"/>
  <c r="I98" i="7"/>
  <c r="H98" i="7"/>
  <c r="K97" i="7"/>
  <c r="J97" i="7"/>
  <c r="I97" i="7"/>
  <c r="H97" i="7"/>
  <c r="K96" i="7"/>
  <c r="J96" i="7"/>
  <c r="I96" i="7"/>
  <c r="H96" i="7"/>
  <c r="J95" i="7"/>
  <c r="H95" i="7"/>
  <c r="D95" i="7"/>
  <c r="J94" i="7"/>
  <c r="H94" i="7"/>
  <c r="D94" i="7"/>
  <c r="J93" i="7"/>
  <c r="H93" i="7"/>
  <c r="D93" i="7"/>
  <c r="J92" i="7"/>
  <c r="H92" i="7"/>
  <c r="D92" i="7"/>
  <c r="J91" i="7"/>
  <c r="H91" i="7"/>
  <c r="D91" i="7"/>
  <c r="J90" i="7"/>
  <c r="H90" i="7"/>
  <c r="D90" i="7"/>
  <c r="J89" i="7"/>
  <c r="H89" i="7"/>
  <c r="D89" i="7"/>
  <c r="J88" i="7"/>
  <c r="H88" i="7"/>
  <c r="D88" i="7"/>
  <c r="J87" i="7"/>
  <c r="H87" i="7"/>
  <c r="D87" i="7"/>
  <c r="J86" i="7"/>
  <c r="H86" i="7"/>
  <c r="D86" i="7"/>
  <c r="J85" i="7"/>
  <c r="H85" i="7"/>
  <c r="D85" i="7"/>
  <c r="J84" i="7"/>
  <c r="H84" i="7"/>
  <c r="D84" i="7"/>
  <c r="J83" i="7"/>
  <c r="H83" i="7"/>
  <c r="D83" i="7"/>
  <c r="J82" i="7"/>
  <c r="H82" i="7"/>
  <c r="D82" i="7"/>
  <c r="K81" i="7"/>
  <c r="J81" i="7"/>
  <c r="I81" i="7"/>
  <c r="H81" i="7"/>
  <c r="J80" i="7"/>
  <c r="H80" i="7"/>
  <c r="D80" i="7"/>
  <c r="K79" i="7"/>
  <c r="J79" i="7"/>
  <c r="I79" i="7"/>
  <c r="H79" i="7"/>
  <c r="J78" i="7"/>
  <c r="H78" i="7"/>
  <c r="D78" i="7"/>
  <c r="J77" i="7"/>
  <c r="H77" i="7"/>
  <c r="D77" i="7"/>
  <c r="J76" i="7"/>
  <c r="H76" i="7"/>
  <c r="D76" i="7"/>
  <c r="J75" i="7"/>
  <c r="H75" i="7"/>
  <c r="D75" i="7"/>
  <c r="J74" i="7"/>
  <c r="H74" i="7"/>
  <c r="D74" i="7"/>
  <c r="K73" i="7"/>
  <c r="J73" i="7"/>
  <c r="I73" i="7"/>
  <c r="H73" i="7"/>
  <c r="J72" i="7"/>
  <c r="H72" i="7"/>
  <c r="D72" i="7"/>
  <c r="J71" i="7"/>
  <c r="H71" i="7"/>
  <c r="D71" i="7"/>
  <c r="K70" i="7"/>
  <c r="J70" i="7"/>
  <c r="I70" i="7"/>
  <c r="H70" i="7"/>
  <c r="J69" i="7"/>
  <c r="H69" i="7"/>
  <c r="D69" i="7"/>
  <c r="J68" i="7"/>
  <c r="H68" i="7"/>
  <c r="D68" i="7"/>
  <c r="J67" i="7"/>
  <c r="H67" i="7"/>
  <c r="D67" i="7"/>
  <c r="J66" i="7"/>
  <c r="H66" i="7"/>
  <c r="D66" i="7"/>
  <c r="J65" i="7"/>
  <c r="H65" i="7"/>
  <c r="D65" i="7"/>
  <c r="K64" i="7"/>
  <c r="J64" i="7"/>
  <c r="I64" i="7"/>
  <c r="H64" i="7"/>
  <c r="J63" i="7"/>
  <c r="H63" i="7"/>
  <c r="D63" i="7"/>
  <c r="J62" i="7"/>
  <c r="H62" i="7"/>
  <c r="D62" i="7"/>
  <c r="J61" i="7"/>
  <c r="H61" i="7"/>
  <c r="D61" i="7"/>
  <c r="J60" i="7"/>
  <c r="H60" i="7"/>
  <c r="D60" i="7"/>
  <c r="J59" i="7"/>
  <c r="H59" i="7"/>
  <c r="D59" i="7"/>
  <c r="K58" i="7"/>
  <c r="J58" i="7"/>
  <c r="I58" i="7"/>
  <c r="H58" i="7"/>
  <c r="J57" i="7"/>
  <c r="H57" i="7"/>
  <c r="D57" i="7"/>
  <c r="J56" i="7"/>
  <c r="H56" i="7"/>
  <c r="D56" i="7"/>
  <c r="K55" i="7"/>
  <c r="J55" i="7"/>
  <c r="H55" i="7"/>
  <c r="K54" i="7"/>
  <c r="J54" i="7"/>
  <c r="H54" i="7"/>
  <c r="K53" i="7"/>
  <c r="J53" i="7"/>
  <c r="H53" i="7"/>
  <c r="J52" i="7"/>
  <c r="H52" i="7"/>
  <c r="D52" i="7"/>
  <c r="J51" i="7"/>
  <c r="H51" i="7"/>
  <c r="D51" i="7"/>
  <c r="J50" i="7"/>
  <c r="H50" i="7"/>
  <c r="D50" i="7"/>
  <c r="J49" i="7"/>
  <c r="H49" i="7"/>
  <c r="D49" i="7"/>
  <c r="J48" i="7"/>
  <c r="H48" i="7"/>
  <c r="D48" i="7"/>
  <c r="J47" i="7"/>
  <c r="H47" i="7"/>
  <c r="D47" i="7"/>
  <c r="J46" i="7"/>
  <c r="H46" i="7"/>
  <c r="D46" i="7"/>
  <c r="J45" i="7"/>
  <c r="H45" i="7"/>
  <c r="D45" i="7"/>
  <c r="J44" i="7"/>
  <c r="H44" i="7"/>
  <c r="D44" i="7"/>
  <c r="J43" i="7"/>
  <c r="H43" i="7"/>
  <c r="D43" i="7"/>
  <c r="J42" i="7"/>
  <c r="H42" i="7"/>
  <c r="D42" i="7"/>
  <c r="J41" i="7"/>
  <c r="H41" i="7"/>
  <c r="D41" i="7"/>
  <c r="J40" i="7"/>
  <c r="H40" i="7"/>
  <c r="D40" i="7"/>
  <c r="J39" i="7"/>
  <c r="H39" i="7"/>
  <c r="D39" i="7"/>
  <c r="K38" i="7"/>
  <c r="J38" i="7"/>
  <c r="H38" i="7"/>
  <c r="J37" i="7"/>
  <c r="H37" i="7"/>
  <c r="D37" i="7"/>
  <c r="J36" i="7"/>
  <c r="H36" i="7"/>
  <c r="D36" i="7"/>
  <c r="J35" i="7"/>
  <c r="H35" i="7"/>
  <c r="D35" i="7"/>
  <c r="J34" i="7"/>
  <c r="H34" i="7"/>
  <c r="D34" i="7"/>
  <c r="J33" i="7"/>
  <c r="H33" i="7"/>
  <c r="D33" i="7"/>
  <c r="J32" i="7"/>
  <c r="H32" i="7"/>
  <c r="D32" i="7"/>
  <c r="J31" i="7"/>
  <c r="H31" i="7"/>
  <c r="D31" i="7"/>
  <c r="J30" i="7"/>
  <c r="H30" i="7"/>
  <c r="D30" i="7"/>
  <c r="K29" i="7"/>
  <c r="J29" i="7"/>
  <c r="H29" i="7"/>
  <c r="J28" i="7"/>
  <c r="H28" i="7"/>
  <c r="D28" i="7"/>
  <c r="J27" i="7"/>
  <c r="H27" i="7"/>
  <c r="D27" i="7"/>
  <c r="J26" i="7"/>
  <c r="H26" i="7"/>
  <c r="D26" i="7"/>
  <c r="K25" i="7"/>
  <c r="J25" i="7"/>
  <c r="H25" i="7"/>
  <c r="J24" i="7"/>
  <c r="H24" i="7"/>
  <c r="D24" i="7"/>
  <c r="J23" i="7"/>
  <c r="H23" i="7"/>
  <c r="D23" i="7"/>
  <c r="J22" i="7"/>
  <c r="H22" i="7"/>
  <c r="D22" i="7"/>
  <c r="J21" i="7"/>
  <c r="H21" i="7"/>
  <c r="D21" i="7"/>
  <c r="J20" i="7"/>
  <c r="H20" i="7"/>
  <c r="D20" i="7"/>
  <c r="K19" i="7"/>
  <c r="J19" i="7"/>
  <c r="H19" i="7"/>
  <c r="J18" i="7"/>
  <c r="H18" i="7"/>
  <c r="D18" i="7"/>
  <c r="J17" i="7"/>
  <c r="H17" i="7"/>
  <c r="D17" i="7"/>
  <c r="J16" i="7"/>
  <c r="H16" i="7"/>
  <c r="D16" i="7"/>
  <c r="J15" i="7"/>
  <c r="H15" i="7"/>
  <c r="D15" i="7"/>
  <c r="J14" i="7"/>
  <c r="H14" i="7"/>
  <c r="D14" i="7"/>
  <c r="J13" i="7"/>
  <c r="H13" i="7"/>
  <c r="D13" i="7"/>
  <c r="J12" i="7"/>
  <c r="H12" i="7"/>
  <c r="D12" i="7"/>
  <c r="K11" i="7"/>
  <c r="J11" i="7"/>
  <c r="H11" i="7"/>
  <c r="J10" i="7"/>
  <c r="H10" i="7"/>
  <c r="D10" i="7"/>
  <c r="J9" i="7"/>
  <c r="H9" i="7"/>
  <c r="D9" i="7"/>
  <c r="J8" i="7"/>
  <c r="H8" i="7"/>
  <c r="D8" i="7"/>
  <c r="J7" i="7"/>
  <c r="H7" i="7"/>
  <c r="D7" i="7"/>
  <c r="K6" i="7"/>
  <c r="J6" i="7"/>
  <c r="H6" i="7"/>
  <c r="J5" i="7"/>
  <c r="H5" i="7"/>
  <c r="D5" i="7"/>
  <c r="J4" i="7"/>
  <c r="H4" i="7"/>
  <c r="D4" i="7"/>
  <c r="J3" i="7"/>
  <c r="D3" i="7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2" i="3"/>
  <c r="B13" i="5"/>
  <c r="B12" i="5"/>
  <c r="B101" i="3"/>
  <c r="X101" i="3" s="1"/>
  <c r="C101" i="3"/>
  <c r="C112" i="3"/>
  <c r="C102" i="3"/>
  <c r="C103" i="3"/>
  <c r="C104" i="3"/>
  <c r="C105" i="3"/>
  <c r="C106" i="3"/>
  <c r="C107" i="3"/>
  <c r="C108" i="3"/>
  <c r="C109" i="3"/>
  <c r="C110" i="3"/>
  <c r="C111" i="3"/>
  <c r="C113" i="3"/>
  <c r="C114" i="3"/>
  <c r="B108" i="3"/>
  <c r="B109" i="3"/>
  <c r="B110" i="3"/>
  <c r="B111" i="3"/>
  <c r="B112" i="3"/>
  <c r="B113" i="3"/>
  <c r="B114" i="3"/>
  <c r="A110" i="3"/>
  <c r="A111" i="3"/>
  <c r="A112" i="3"/>
  <c r="A113" i="3"/>
  <c r="A114" i="3"/>
  <c r="A102" i="3"/>
  <c r="A103" i="3"/>
  <c r="A104" i="3"/>
  <c r="A105" i="3"/>
  <c r="A106" i="3"/>
  <c r="A107" i="3"/>
  <c r="A108" i="3"/>
  <c r="A109" i="3"/>
  <c r="B102" i="3"/>
  <c r="B103" i="3"/>
  <c r="B104" i="3"/>
  <c r="B105" i="3"/>
  <c r="B106" i="3"/>
  <c r="B107" i="3"/>
  <c r="A2" i="3"/>
  <c r="B6" i="5"/>
  <c r="B22" i="5"/>
  <c r="B21" i="5"/>
  <c r="B20" i="5"/>
  <c r="B19" i="5"/>
  <c r="B18" i="5"/>
  <c r="B17" i="5"/>
  <c r="B16" i="5"/>
  <c r="B15" i="5"/>
  <c r="B14" i="5"/>
  <c r="B8" i="5"/>
  <c r="B9" i="5" s="1"/>
  <c r="C23" i="5" s="1"/>
  <c r="D23" i="5" s="1"/>
  <c r="D101" i="3"/>
  <c r="E101" i="3" s="1"/>
  <c r="F101" i="3" s="1"/>
  <c r="I101" i="3"/>
  <c r="A101" i="3"/>
  <c r="D100" i="3"/>
  <c r="C100" i="3"/>
  <c r="B100" i="3"/>
  <c r="A100" i="3"/>
  <c r="D99" i="3"/>
  <c r="C99" i="3"/>
  <c r="B99" i="3"/>
  <c r="A99" i="3"/>
  <c r="D98" i="3"/>
  <c r="C98" i="3"/>
  <c r="B98" i="3"/>
  <c r="A98" i="3"/>
  <c r="D97" i="3"/>
  <c r="C97" i="3"/>
  <c r="B97" i="3"/>
  <c r="A97" i="3"/>
  <c r="D96" i="3"/>
  <c r="C96" i="3"/>
  <c r="B96" i="3"/>
  <c r="A96" i="3"/>
  <c r="D95" i="3"/>
  <c r="C95" i="3"/>
  <c r="B95" i="3"/>
  <c r="A95" i="3"/>
  <c r="D94" i="3"/>
  <c r="C94" i="3"/>
  <c r="B94" i="3"/>
  <c r="A94" i="3"/>
  <c r="D93" i="3"/>
  <c r="C93" i="3"/>
  <c r="B93" i="3"/>
  <c r="A93" i="3"/>
  <c r="D92" i="3"/>
  <c r="C92" i="3"/>
  <c r="B92" i="3"/>
  <c r="A92" i="3"/>
  <c r="D91" i="3"/>
  <c r="C91" i="3"/>
  <c r="B91" i="3"/>
  <c r="A91" i="3"/>
  <c r="D90" i="3"/>
  <c r="C90" i="3"/>
  <c r="B90" i="3"/>
  <c r="A90" i="3"/>
  <c r="D89" i="3"/>
  <c r="C89" i="3"/>
  <c r="B89" i="3"/>
  <c r="A89" i="3"/>
  <c r="D88" i="3"/>
  <c r="C88" i="3"/>
  <c r="B88" i="3"/>
  <c r="A88" i="3"/>
  <c r="D87" i="3"/>
  <c r="C87" i="3"/>
  <c r="B87" i="3"/>
  <c r="A87" i="3"/>
  <c r="D86" i="3"/>
  <c r="C86" i="3"/>
  <c r="B86" i="3"/>
  <c r="X86" i="3" s="1"/>
  <c r="A86" i="3"/>
  <c r="D85" i="3"/>
  <c r="C85" i="3"/>
  <c r="B85" i="3"/>
  <c r="A85" i="3"/>
  <c r="D84" i="3"/>
  <c r="C84" i="3"/>
  <c r="B84" i="3"/>
  <c r="A84" i="3"/>
  <c r="D83" i="3"/>
  <c r="C83" i="3"/>
  <c r="B83" i="3"/>
  <c r="A83" i="3"/>
  <c r="D82" i="3"/>
  <c r="C82" i="3"/>
  <c r="B82" i="3"/>
  <c r="A82" i="3"/>
  <c r="D81" i="3"/>
  <c r="C81" i="3"/>
  <c r="B81" i="3"/>
  <c r="A81" i="3"/>
  <c r="D80" i="3"/>
  <c r="C80" i="3"/>
  <c r="B80" i="3"/>
  <c r="A80" i="3"/>
  <c r="D79" i="3"/>
  <c r="C79" i="3"/>
  <c r="B79" i="3"/>
  <c r="X79" i="3" s="1"/>
  <c r="A79" i="3"/>
  <c r="D78" i="3"/>
  <c r="C78" i="3"/>
  <c r="B78" i="3"/>
  <c r="A78" i="3"/>
  <c r="D77" i="3"/>
  <c r="C77" i="3"/>
  <c r="B77" i="3"/>
  <c r="A77" i="3"/>
  <c r="D76" i="3"/>
  <c r="C76" i="3"/>
  <c r="B76" i="3"/>
  <c r="A76" i="3"/>
  <c r="D75" i="3"/>
  <c r="C75" i="3"/>
  <c r="B75" i="3"/>
  <c r="A75" i="3"/>
  <c r="D74" i="3"/>
  <c r="C74" i="3"/>
  <c r="B74" i="3"/>
  <c r="A74" i="3"/>
  <c r="D73" i="3"/>
  <c r="C73" i="3"/>
  <c r="B73" i="3"/>
  <c r="X73" i="3" s="1"/>
  <c r="A73" i="3"/>
  <c r="D72" i="3"/>
  <c r="C72" i="3"/>
  <c r="B72" i="3"/>
  <c r="A72" i="3"/>
  <c r="D71" i="3"/>
  <c r="C71" i="3"/>
  <c r="B71" i="3"/>
  <c r="X71" i="3" s="1"/>
  <c r="A71" i="3"/>
  <c r="D70" i="3"/>
  <c r="C70" i="3"/>
  <c r="B70" i="3"/>
  <c r="A70" i="3"/>
  <c r="D69" i="3"/>
  <c r="C69" i="3"/>
  <c r="B69" i="3"/>
  <c r="A69" i="3"/>
  <c r="D68" i="3"/>
  <c r="C68" i="3"/>
  <c r="B68" i="3"/>
  <c r="X68" i="3" s="1"/>
  <c r="A68" i="3"/>
  <c r="D67" i="3"/>
  <c r="C67" i="3"/>
  <c r="B67" i="3"/>
  <c r="A67" i="3"/>
  <c r="D66" i="3"/>
  <c r="C66" i="3"/>
  <c r="B66" i="3"/>
  <c r="A66" i="3"/>
  <c r="D65" i="3"/>
  <c r="C65" i="3"/>
  <c r="B65" i="3"/>
  <c r="A65" i="3"/>
  <c r="D64" i="3"/>
  <c r="C64" i="3"/>
  <c r="B64" i="3"/>
  <c r="A64" i="3"/>
  <c r="D63" i="3"/>
  <c r="C63" i="3"/>
  <c r="B63" i="3"/>
  <c r="A63" i="3"/>
  <c r="D62" i="3"/>
  <c r="C62" i="3"/>
  <c r="B62" i="3"/>
  <c r="A62" i="3"/>
  <c r="D61" i="3"/>
  <c r="C61" i="3"/>
  <c r="B61" i="3"/>
  <c r="A61" i="3"/>
  <c r="D60" i="3"/>
  <c r="C60" i="3"/>
  <c r="B60" i="3"/>
  <c r="A60" i="3"/>
  <c r="D59" i="3"/>
  <c r="C59" i="3"/>
  <c r="B59" i="3"/>
  <c r="A59" i="3"/>
  <c r="D58" i="3"/>
  <c r="C58" i="3"/>
  <c r="B58" i="3"/>
  <c r="X58" i="3" s="1"/>
  <c r="A58" i="3"/>
  <c r="D57" i="3"/>
  <c r="C57" i="3"/>
  <c r="B57" i="3"/>
  <c r="A57" i="3"/>
  <c r="D56" i="3"/>
  <c r="C56" i="3"/>
  <c r="B56" i="3"/>
  <c r="X56" i="3" s="1"/>
  <c r="A56" i="3"/>
  <c r="D55" i="3"/>
  <c r="C55" i="3"/>
  <c r="B55" i="3"/>
  <c r="A55" i="3"/>
  <c r="D54" i="3"/>
  <c r="C54" i="3"/>
  <c r="B54" i="3"/>
  <c r="A54" i="3"/>
  <c r="D53" i="3"/>
  <c r="C53" i="3"/>
  <c r="B53" i="3"/>
  <c r="A53" i="3"/>
  <c r="D52" i="3"/>
  <c r="C52" i="3"/>
  <c r="B52" i="3"/>
  <c r="A52" i="3"/>
  <c r="D51" i="3"/>
  <c r="C51" i="3"/>
  <c r="B51" i="3"/>
  <c r="A51" i="3"/>
  <c r="D50" i="3"/>
  <c r="C50" i="3"/>
  <c r="B50" i="3"/>
  <c r="X50" i="3" s="1"/>
  <c r="A50" i="3"/>
  <c r="D49" i="3"/>
  <c r="C49" i="3"/>
  <c r="B49" i="3"/>
  <c r="A49" i="3"/>
  <c r="D48" i="3"/>
  <c r="C48" i="3"/>
  <c r="B48" i="3"/>
  <c r="X48" i="3" s="1"/>
  <c r="A48" i="3"/>
  <c r="D47" i="3"/>
  <c r="C47" i="3"/>
  <c r="B47" i="3"/>
  <c r="A47" i="3"/>
  <c r="D46" i="3"/>
  <c r="C46" i="3"/>
  <c r="B46" i="3"/>
  <c r="A46" i="3"/>
  <c r="D45" i="3"/>
  <c r="C45" i="3"/>
  <c r="B45" i="3"/>
  <c r="A45" i="3"/>
  <c r="D44" i="3"/>
  <c r="C44" i="3"/>
  <c r="B44" i="3"/>
  <c r="A44" i="3"/>
  <c r="D43" i="3"/>
  <c r="C43" i="3"/>
  <c r="B43" i="3"/>
  <c r="X43" i="3" s="1"/>
  <c r="A43" i="3"/>
  <c r="D42" i="3"/>
  <c r="C42" i="3"/>
  <c r="B42" i="3"/>
  <c r="A42" i="3"/>
  <c r="D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D37" i="3"/>
  <c r="C37" i="3"/>
  <c r="B37" i="3"/>
  <c r="X37" i="3" s="1"/>
  <c r="A37" i="3"/>
  <c r="D36" i="3"/>
  <c r="C36" i="3"/>
  <c r="B36" i="3"/>
  <c r="A36" i="3"/>
  <c r="D35" i="3"/>
  <c r="C35" i="3"/>
  <c r="B35" i="3"/>
  <c r="X35" i="3" s="1"/>
  <c r="A35" i="3"/>
  <c r="D34" i="3"/>
  <c r="C34" i="3"/>
  <c r="B34" i="3"/>
  <c r="X34" i="3" s="1"/>
  <c r="A34" i="3"/>
  <c r="D33" i="3"/>
  <c r="C33" i="3"/>
  <c r="B33" i="3"/>
  <c r="A33" i="3"/>
  <c r="D32" i="3"/>
  <c r="C32" i="3"/>
  <c r="B32" i="3"/>
  <c r="X32" i="3" s="1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X26" i="3" s="1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D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D14" i="3"/>
  <c r="C14" i="3"/>
  <c r="B14" i="3"/>
  <c r="X14" i="3" s="1"/>
  <c r="A14" i="3"/>
  <c r="D13" i="3"/>
  <c r="C13" i="3"/>
  <c r="B13" i="3"/>
  <c r="A13" i="3"/>
  <c r="D12" i="3"/>
  <c r="C12" i="3"/>
  <c r="B12" i="3"/>
  <c r="X12" i="3" s="1"/>
  <c r="A12" i="3"/>
  <c r="D11" i="3"/>
  <c r="C11" i="3"/>
  <c r="B11" i="3"/>
  <c r="X11" i="3" s="1"/>
  <c r="A11" i="3"/>
  <c r="D10" i="3"/>
  <c r="C10" i="3"/>
  <c r="B10" i="3"/>
  <c r="A10" i="3"/>
  <c r="D9" i="3"/>
  <c r="C9" i="3"/>
  <c r="B9" i="3"/>
  <c r="X9" i="3" s="1"/>
  <c r="A9" i="3"/>
  <c r="D8" i="3"/>
  <c r="C8" i="3"/>
  <c r="B8" i="3"/>
  <c r="A8" i="3"/>
  <c r="D7" i="3"/>
  <c r="C7" i="3"/>
  <c r="B7" i="3"/>
  <c r="X7" i="3" s="1"/>
  <c r="A7" i="3"/>
  <c r="D6" i="3"/>
  <c r="C6" i="3"/>
  <c r="B6" i="3"/>
  <c r="A6" i="3"/>
  <c r="D5" i="3"/>
  <c r="C5" i="3"/>
  <c r="B5" i="3"/>
  <c r="A5" i="3"/>
  <c r="D4" i="3"/>
  <c r="C4" i="3"/>
  <c r="B4" i="3"/>
  <c r="A4" i="3"/>
  <c r="D3" i="3"/>
  <c r="C3" i="3"/>
  <c r="B3" i="3"/>
  <c r="A3" i="3"/>
  <c r="C2" i="3"/>
  <c r="B2" i="3"/>
  <c r="K3" i="7" l="1"/>
  <c r="I3" i="7"/>
  <c r="K4" i="7"/>
  <c r="I4" i="7"/>
  <c r="K5" i="7"/>
  <c r="I5" i="7"/>
  <c r="K7" i="7"/>
  <c r="I7" i="7"/>
  <c r="K8" i="7"/>
  <c r="I8" i="7"/>
  <c r="K9" i="7"/>
  <c r="I9" i="7"/>
  <c r="K10" i="7"/>
  <c r="I10" i="7"/>
  <c r="K12" i="7"/>
  <c r="I12" i="7"/>
  <c r="K13" i="7"/>
  <c r="I13" i="7"/>
  <c r="K14" i="7"/>
  <c r="I14" i="7"/>
  <c r="K15" i="7"/>
  <c r="I15" i="7"/>
  <c r="K16" i="7"/>
  <c r="I16" i="7"/>
  <c r="K17" i="7"/>
  <c r="I17" i="7"/>
  <c r="K18" i="7"/>
  <c r="I18" i="7"/>
  <c r="K20" i="7"/>
  <c r="I20" i="7"/>
  <c r="K21" i="7"/>
  <c r="I21" i="7"/>
  <c r="K22" i="7"/>
  <c r="I22" i="7"/>
  <c r="K23" i="7"/>
  <c r="I23" i="7"/>
  <c r="K24" i="7"/>
  <c r="I24" i="7"/>
  <c r="K26" i="7"/>
  <c r="I26" i="7"/>
  <c r="K27" i="7"/>
  <c r="I27" i="7"/>
  <c r="K28" i="7"/>
  <c r="I28" i="7"/>
  <c r="K30" i="7"/>
  <c r="I30" i="7"/>
  <c r="K31" i="7"/>
  <c r="I31" i="7"/>
  <c r="K32" i="7"/>
  <c r="I32" i="7"/>
  <c r="K33" i="7"/>
  <c r="I33" i="7"/>
  <c r="K34" i="7"/>
  <c r="I34" i="7"/>
  <c r="K35" i="7"/>
  <c r="I35" i="7"/>
  <c r="K36" i="7"/>
  <c r="I36" i="7"/>
  <c r="K37" i="7"/>
  <c r="I37" i="7"/>
  <c r="K39" i="7"/>
  <c r="I39" i="7"/>
  <c r="K40" i="7"/>
  <c r="I40" i="7"/>
  <c r="K41" i="7"/>
  <c r="I41" i="7"/>
  <c r="K42" i="7"/>
  <c r="I42" i="7"/>
  <c r="K43" i="7"/>
  <c r="I43" i="7"/>
  <c r="K44" i="7"/>
  <c r="I44" i="7"/>
  <c r="K45" i="7"/>
  <c r="I45" i="7"/>
  <c r="K46" i="7"/>
  <c r="I46" i="7"/>
  <c r="K47" i="7"/>
  <c r="I47" i="7"/>
  <c r="K48" i="7"/>
  <c r="I48" i="7"/>
  <c r="K49" i="7"/>
  <c r="I49" i="7"/>
  <c r="K50" i="7"/>
  <c r="I50" i="7"/>
  <c r="K51" i="7"/>
  <c r="I51" i="7"/>
  <c r="K52" i="7"/>
  <c r="I52" i="7"/>
  <c r="K56" i="7"/>
  <c r="I56" i="7"/>
  <c r="K57" i="7"/>
  <c r="I57" i="7"/>
  <c r="K59" i="7"/>
  <c r="I59" i="7"/>
  <c r="K60" i="7"/>
  <c r="I60" i="7"/>
  <c r="K61" i="7"/>
  <c r="I61" i="7"/>
  <c r="K62" i="7"/>
  <c r="I62" i="7"/>
  <c r="K63" i="7"/>
  <c r="I63" i="7"/>
  <c r="K65" i="7"/>
  <c r="I65" i="7"/>
  <c r="K66" i="7"/>
  <c r="I66" i="7"/>
  <c r="K67" i="7"/>
  <c r="I67" i="7"/>
  <c r="K68" i="7"/>
  <c r="I68" i="7"/>
  <c r="K69" i="7"/>
  <c r="I69" i="7"/>
  <c r="K71" i="7"/>
  <c r="I71" i="7"/>
  <c r="K72" i="7"/>
  <c r="I72" i="7"/>
  <c r="K74" i="7"/>
  <c r="I74" i="7"/>
  <c r="K75" i="7"/>
  <c r="I75" i="7"/>
  <c r="K76" i="7"/>
  <c r="I76" i="7"/>
  <c r="K77" i="7"/>
  <c r="I77" i="7"/>
  <c r="K78" i="7"/>
  <c r="I78" i="7"/>
  <c r="K80" i="7"/>
  <c r="I80" i="7"/>
  <c r="K82" i="7"/>
  <c r="I82" i="7"/>
  <c r="K83" i="7"/>
  <c r="I83" i="7"/>
  <c r="K84" i="7"/>
  <c r="I84" i="7"/>
  <c r="K85" i="7"/>
  <c r="I85" i="7"/>
  <c r="K86" i="7"/>
  <c r="I86" i="7"/>
  <c r="K87" i="7"/>
  <c r="I87" i="7"/>
  <c r="K88" i="7"/>
  <c r="I88" i="7"/>
  <c r="K89" i="7"/>
  <c r="I89" i="7"/>
  <c r="K90" i="7"/>
  <c r="I90" i="7"/>
  <c r="K91" i="7"/>
  <c r="I91" i="7"/>
  <c r="K92" i="7"/>
  <c r="I92" i="7"/>
  <c r="K93" i="7"/>
  <c r="I93" i="7"/>
  <c r="K94" i="7"/>
  <c r="I94" i="7"/>
  <c r="K95" i="7"/>
  <c r="I95" i="7"/>
  <c r="K100" i="7"/>
  <c r="I100" i="7"/>
  <c r="K101" i="7"/>
  <c r="I101" i="7"/>
  <c r="K102" i="7"/>
  <c r="I102" i="7"/>
  <c r="K103" i="7"/>
  <c r="I103" i="7"/>
  <c r="K104" i="7"/>
  <c r="I104" i="7"/>
  <c r="K106" i="7"/>
  <c r="I106" i="7"/>
  <c r="K107" i="7"/>
  <c r="I107" i="7"/>
  <c r="K108" i="7"/>
  <c r="I108" i="7"/>
  <c r="K109" i="7"/>
  <c r="I109" i="7"/>
  <c r="K110" i="7"/>
  <c r="I110" i="7"/>
  <c r="K111" i="7"/>
  <c r="I111" i="7"/>
  <c r="K112" i="7"/>
  <c r="I112" i="7"/>
  <c r="K113" i="7"/>
  <c r="I113" i="7"/>
  <c r="K115" i="7"/>
  <c r="I115" i="7"/>
  <c r="K116" i="7"/>
  <c r="I116" i="7"/>
  <c r="K117" i="7"/>
  <c r="I117" i="7"/>
  <c r="K118" i="7"/>
  <c r="I118" i="7"/>
  <c r="K120" i="7"/>
  <c r="I120" i="7"/>
  <c r="K121" i="7"/>
  <c r="I121" i="7"/>
  <c r="K122" i="7"/>
  <c r="I122" i="7"/>
  <c r="K123" i="7"/>
  <c r="I123" i="7"/>
  <c r="K124" i="7"/>
  <c r="I124" i="7"/>
  <c r="K125" i="7"/>
  <c r="I125" i="7"/>
  <c r="K126" i="7"/>
  <c r="I126" i="7"/>
  <c r="K128" i="7"/>
  <c r="I128" i="7"/>
  <c r="K129" i="7"/>
  <c r="I129" i="7"/>
  <c r="K130" i="7"/>
  <c r="I130" i="7"/>
  <c r="K132" i="7"/>
  <c r="I132" i="7"/>
  <c r="K133" i="7"/>
  <c r="I133" i="7"/>
  <c r="K134" i="7"/>
  <c r="I134" i="7"/>
  <c r="K135" i="7"/>
  <c r="I135" i="7"/>
  <c r="K136" i="7"/>
  <c r="I136" i="7"/>
  <c r="K137" i="7"/>
  <c r="I137" i="7"/>
  <c r="K142" i="7"/>
  <c r="I142" i="7"/>
  <c r="K143" i="7"/>
  <c r="I143" i="7"/>
  <c r="K144" i="7"/>
  <c r="I144" i="7"/>
  <c r="K146" i="7"/>
  <c r="I146" i="7"/>
  <c r="K147" i="7"/>
  <c r="I147" i="7"/>
  <c r="K148" i="7"/>
  <c r="I148" i="7"/>
  <c r="K149" i="7"/>
  <c r="I149" i="7"/>
  <c r="K150" i="7"/>
  <c r="I150" i="7"/>
  <c r="K151" i="7"/>
  <c r="I151" i="7"/>
  <c r="K153" i="7"/>
  <c r="I153" i="7"/>
  <c r="K154" i="7"/>
  <c r="I154" i="7"/>
  <c r="K155" i="7"/>
  <c r="I155" i="7"/>
  <c r="K156" i="7"/>
  <c r="I156" i="7"/>
  <c r="K158" i="7"/>
  <c r="I158" i="7"/>
  <c r="K159" i="7"/>
  <c r="I159" i="7"/>
  <c r="K160" i="7"/>
  <c r="I160" i="7"/>
  <c r="K161" i="7"/>
  <c r="I161" i="7"/>
  <c r="K163" i="7"/>
  <c r="I163" i="7"/>
  <c r="K165" i="7"/>
  <c r="I165" i="7"/>
  <c r="K167" i="7"/>
  <c r="I167" i="7"/>
  <c r="K168" i="7"/>
  <c r="I168" i="7"/>
  <c r="K169" i="7"/>
  <c r="I169" i="7"/>
  <c r="K170" i="7"/>
  <c r="I170" i="7"/>
  <c r="K171" i="7"/>
  <c r="I171" i="7"/>
  <c r="K172" i="7"/>
  <c r="I172" i="7"/>
  <c r="K173" i="7"/>
  <c r="I173" i="7"/>
  <c r="K174" i="7"/>
  <c r="I174" i="7"/>
  <c r="K175" i="7"/>
  <c r="I175" i="7"/>
  <c r="K177" i="7"/>
  <c r="I177" i="7"/>
  <c r="K178" i="7"/>
  <c r="I178" i="7"/>
  <c r="K179" i="7"/>
  <c r="I179" i="7"/>
  <c r="K180" i="7"/>
  <c r="I180" i="7"/>
  <c r="K181" i="7"/>
  <c r="I181" i="7"/>
  <c r="K183" i="7"/>
  <c r="I183" i="7"/>
  <c r="K185" i="7"/>
  <c r="I185" i="7"/>
  <c r="K186" i="7"/>
  <c r="I186" i="7"/>
  <c r="K187" i="7"/>
  <c r="I187" i="7"/>
  <c r="K188" i="7"/>
  <c r="I188" i="7"/>
  <c r="K189" i="7"/>
  <c r="I189" i="7"/>
  <c r="K191" i="7"/>
  <c r="I191" i="7"/>
  <c r="K192" i="7"/>
  <c r="I192" i="7"/>
  <c r="K193" i="7"/>
  <c r="I193" i="7"/>
  <c r="K194" i="7"/>
  <c r="I194" i="7"/>
  <c r="K195" i="7"/>
  <c r="I195" i="7"/>
  <c r="K196" i="7"/>
  <c r="I196" i="7"/>
  <c r="K197" i="7"/>
  <c r="I197" i="7"/>
  <c r="K198" i="7"/>
  <c r="I198" i="7"/>
  <c r="K199" i="7"/>
  <c r="I199" i="7"/>
  <c r="K201" i="7"/>
  <c r="I201" i="7"/>
  <c r="K202" i="7"/>
  <c r="I202" i="7"/>
  <c r="K203" i="7"/>
  <c r="I203" i="7"/>
  <c r="K204" i="7"/>
  <c r="I204" i="7"/>
  <c r="K205" i="7"/>
  <c r="I205" i="7"/>
  <c r="K207" i="7"/>
  <c r="I207" i="7"/>
  <c r="K208" i="7"/>
  <c r="I208" i="7"/>
  <c r="K209" i="7"/>
  <c r="I209" i="7"/>
  <c r="E114" i="3"/>
  <c r="F114" i="3" s="1"/>
  <c r="E113" i="3"/>
  <c r="F113" i="3" s="1"/>
  <c r="E111" i="3"/>
  <c r="F111" i="3" s="1"/>
  <c r="E110" i="3"/>
  <c r="F110" i="3" s="1"/>
  <c r="E109" i="3"/>
  <c r="F109" i="3" s="1"/>
  <c r="E108" i="3"/>
  <c r="F108" i="3" s="1"/>
  <c r="E107" i="3"/>
  <c r="F107" i="3" s="1"/>
  <c r="E106" i="3"/>
  <c r="F106" i="3" s="1"/>
  <c r="E105" i="3"/>
  <c r="F105" i="3" s="1"/>
  <c r="E104" i="3"/>
  <c r="F104" i="3" s="1"/>
  <c r="E103" i="3"/>
  <c r="F103" i="3" s="1"/>
  <c r="E102" i="3"/>
  <c r="F102" i="3" s="1"/>
  <c r="E112" i="3"/>
  <c r="F112" i="3" s="1"/>
  <c r="W2" i="3"/>
  <c r="W3" i="3"/>
  <c r="I4" i="3"/>
  <c r="X4" i="3"/>
  <c r="I5" i="3"/>
  <c r="X5" i="3"/>
  <c r="I6" i="3"/>
  <c r="X6" i="3"/>
  <c r="I8" i="3"/>
  <c r="X8" i="3"/>
  <c r="I10" i="3"/>
  <c r="X10" i="3"/>
  <c r="I13" i="3"/>
  <c r="X13" i="3"/>
  <c r="I15" i="3"/>
  <c r="X15" i="3"/>
  <c r="I16" i="3"/>
  <c r="X16" i="3"/>
  <c r="I17" i="3"/>
  <c r="X17" i="3"/>
  <c r="I18" i="3"/>
  <c r="X18" i="3"/>
  <c r="I19" i="3"/>
  <c r="X19" i="3"/>
  <c r="I20" i="3"/>
  <c r="X20" i="3"/>
  <c r="I21" i="3"/>
  <c r="X21" i="3"/>
  <c r="I22" i="3"/>
  <c r="X22" i="3"/>
  <c r="I23" i="3"/>
  <c r="X23" i="3"/>
  <c r="I24" i="3"/>
  <c r="X24" i="3"/>
  <c r="I25" i="3"/>
  <c r="X25" i="3"/>
  <c r="I27" i="3"/>
  <c r="X27" i="3"/>
  <c r="I28" i="3"/>
  <c r="X28" i="3"/>
  <c r="I29" i="3"/>
  <c r="X29" i="3"/>
  <c r="I30" i="3"/>
  <c r="X30" i="3"/>
  <c r="I31" i="3"/>
  <c r="X31" i="3"/>
  <c r="I33" i="3"/>
  <c r="X33" i="3"/>
  <c r="I36" i="3"/>
  <c r="X36" i="3"/>
  <c r="I38" i="3"/>
  <c r="X38" i="3"/>
  <c r="I39" i="3"/>
  <c r="X39" i="3"/>
  <c r="I40" i="3"/>
  <c r="X40" i="3"/>
  <c r="I41" i="3"/>
  <c r="X41" i="3"/>
  <c r="I42" i="3"/>
  <c r="X42" i="3"/>
  <c r="I44" i="3"/>
  <c r="X44" i="3"/>
  <c r="I45" i="3"/>
  <c r="X45" i="3"/>
  <c r="I46" i="3"/>
  <c r="X46" i="3"/>
  <c r="I47" i="3"/>
  <c r="X47" i="3"/>
  <c r="I49" i="3"/>
  <c r="X49" i="3"/>
  <c r="I51" i="3"/>
  <c r="X51" i="3"/>
  <c r="I52" i="3"/>
  <c r="X52" i="3"/>
  <c r="I53" i="3"/>
  <c r="X53" i="3"/>
  <c r="I54" i="3"/>
  <c r="X54" i="3"/>
  <c r="I55" i="3"/>
  <c r="X55" i="3"/>
  <c r="I57" i="3"/>
  <c r="X57" i="3"/>
  <c r="I59" i="3"/>
  <c r="X59" i="3"/>
  <c r="I60" i="3"/>
  <c r="X60" i="3"/>
  <c r="I61" i="3"/>
  <c r="X61" i="3"/>
  <c r="I62" i="3"/>
  <c r="X62" i="3"/>
  <c r="I63" i="3"/>
  <c r="X63" i="3"/>
  <c r="I64" i="3"/>
  <c r="X64" i="3"/>
  <c r="I65" i="3"/>
  <c r="X65" i="3"/>
  <c r="I66" i="3"/>
  <c r="X66" i="3"/>
  <c r="I67" i="3"/>
  <c r="X67" i="3"/>
  <c r="I69" i="3"/>
  <c r="X69" i="3"/>
  <c r="I70" i="3"/>
  <c r="X70" i="3"/>
  <c r="I72" i="3"/>
  <c r="X72" i="3"/>
  <c r="I74" i="3"/>
  <c r="X74" i="3"/>
  <c r="I75" i="3"/>
  <c r="X75" i="3"/>
  <c r="I76" i="3"/>
  <c r="X76" i="3"/>
  <c r="I77" i="3"/>
  <c r="X77" i="3"/>
  <c r="I78" i="3"/>
  <c r="X78" i="3"/>
  <c r="I80" i="3"/>
  <c r="X80" i="3"/>
  <c r="I81" i="3"/>
  <c r="X81" i="3"/>
  <c r="I82" i="3"/>
  <c r="X82" i="3"/>
  <c r="I83" i="3"/>
  <c r="X83" i="3"/>
  <c r="I84" i="3"/>
  <c r="X84" i="3"/>
  <c r="I85" i="3"/>
  <c r="X85" i="3"/>
  <c r="I87" i="3"/>
  <c r="X87" i="3"/>
  <c r="I88" i="3"/>
  <c r="X88" i="3"/>
  <c r="I89" i="3"/>
  <c r="X89" i="3"/>
  <c r="I90" i="3"/>
  <c r="X90" i="3"/>
  <c r="I91" i="3"/>
  <c r="X91" i="3"/>
  <c r="I92" i="3"/>
  <c r="X92" i="3"/>
  <c r="I93" i="3"/>
  <c r="X93" i="3"/>
  <c r="I94" i="3"/>
  <c r="X94" i="3"/>
  <c r="I95" i="3"/>
  <c r="X95" i="3"/>
  <c r="I96" i="3"/>
  <c r="X96" i="3"/>
  <c r="I97" i="3"/>
  <c r="X97" i="3"/>
  <c r="I98" i="3"/>
  <c r="X98" i="3"/>
  <c r="I99" i="3"/>
  <c r="X99" i="3"/>
  <c r="I100" i="3"/>
  <c r="X100" i="3"/>
  <c r="I107" i="3"/>
  <c r="X107" i="3"/>
  <c r="I106" i="3"/>
  <c r="X106" i="3"/>
  <c r="I105" i="3"/>
  <c r="X105" i="3"/>
  <c r="I104" i="3"/>
  <c r="X104" i="3"/>
  <c r="I103" i="3"/>
  <c r="X103" i="3"/>
  <c r="I102" i="3"/>
  <c r="X102" i="3"/>
  <c r="I114" i="3"/>
  <c r="X114" i="3"/>
  <c r="I113" i="3"/>
  <c r="X113" i="3"/>
  <c r="I112" i="3"/>
  <c r="X112" i="3"/>
  <c r="I111" i="3"/>
  <c r="X111" i="3"/>
  <c r="I110" i="3"/>
  <c r="X110" i="3"/>
  <c r="I109" i="3"/>
  <c r="X109" i="3"/>
  <c r="I108" i="3"/>
  <c r="X108" i="3"/>
  <c r="V2" i="3"/>
  <c r="Q2" i="3" s="1"/>
  <c r="W114" i="3"/>
  <c r="V114" i="3" s="1"/>
  <c r="Q114" i="3" s="1"/>
  <c r="P114" i="3" s="1"/>
  <c r="R114" i="3" s="1"/>
  <c r="W113" i="3"/>
  <c r="V113" i="3" s="1"/>
  <c r="Q113" i="3" s="1"/>
  <c r="P113" i="3" s="1"/>
  <c r="R113" i="3" s="1"/>
  <c r="W112" i="3"/>
  <c r="V112" i="3" s="1"/>
  <c r="Q112" i="3" s="1"/>
  <c r="P112" i="3" s="1"/>
  <c r="R112" i="3" s="1"/>
  <c r="W111" i="3"/>
  <c r="V111" i="3" s="1"/>
  <c r="Q111" i="3" s="1"/>
  <c r="P111" i="3" s="1"/>
  <c r="R111" i="3" s="1"/>
  <c r="W110" i="3"/>
  <c r="V110" i="3" s="1"/>
  <c r="Q110" i="3" s="1"/>
  <c r="P110" i="3" s="1"/>
  <c r="R110" i="3" s="1"/>
  <c r="W109" i="3"/>
  <c r="V109" i="3" s="1"/>
  <c r="Q109" i="3" s="1"/>
  <c r="P109" i="3" s="1"/>
  <c r="R109" i="3" s="1"/>
  <c r="W108" i="3"/>
  <c r="V108" i="3" s="1"/>
  <c r="Q108" i="3" s="1"/>
  <c r="P108" i="3" s="1"/>
  <c r="R108" i="3" s="1"/>
  <c r="W107" i="3"/>
  <c r="V107" i="3" s="1"/>
  <c r="Q107" i="3" s="1"/>
  <c r="P107" i="3" s="1"/>
  <c r="R107" i="3" s="1"/>
  <c r="W106" i="3"/>
  <c r="V106" i="3" s="1"/>
  <c r="Q106" i="3" s="1"/>
  <c r="P106" i="3" s="1"/>
  <c r="R106" i="3" s="1"/>
  <c r="W105" i="3"/>
  <c r="V105" i="3" s="1"/>
  <c r="Q105" i="3" s="1"/>
  <c r="P105" i="3" s="1"/>
  <c r="R105" i="3" s="1"/>
  <c r="W104" i="3"/>
  <c r="V104" i="3" s="1"/>
  <c r="Q104" i="3" s="1"/>
  <c r="P104" i="3" s="1"/>
  <c r="R104" i="3" s="1"/>
  <c r="W103" i="3"/>
  <c r="V103" i="3" s="1"/>
  <c r="Q103" i="3" s="1"/>
  <c r="P103" i="3" s="1"/>
  <c r="R103" i="3" s="1"/>
  <c r="W102" i="3"/>
  <c r="V102" i="3" s="1"/>
  <c r="Q102" i="3" s="1"/>
  <c r="P102" i="3" s="1"/>
  <c r="R102" i="3" s="1"/>
  <c r="W101" i="3"/>
  <c r="V101" i="3" s="1"/>
  <c r="Q101" i="3" s="1"/>
  <c r="W100" i="3"/>
  <c r="V100" i="3" s="1"/>
  <c r="Q100" i="3" s="1"/>
  <c r="W99" i="3"/>
  <c r="V99" i="3" s="1"/>
  <c r="Q99" i="3" s="1"/>
  <c r="W98" i="3"/>
  <c r="V98" i="3" s="1"/>
  <c r="Q98" i="3" s="1"/>
  <c r="W97" i="3"/>
  <c r="V97" i="3" s="1"/>
  <c r="Q97" i="3" s="1"/>
  <c r="W96" i="3"/>
  <c r="V96" i="3" s="1"/>
  <c r="Q96" i="3" s="1"/>
  <c r="W95" i="3"/>
  <c r="V95" i="3" s="1"/>
  <c r="Q95" i="3" s="1"/>
  <c r="W94" i="3"/>
  <c r="V94" i="3" s="1"/>
  <c r="Q94" i="3" s="1"/>
  <c r="W93" i="3"/>
  <c r="V93" i="3" s="1"/>
  <c r="Q93" i="3" s="1"/>
  <c r="W92" i="3"/>
  <c r="V92" i="3" s="1"/>
  <c r="Q92" i="3" s="1"/>
  <c r="W91" i="3"/>
  <c r="V91" i="3" s="1"/>
  <c r="Q91" i="3" s="1"/>
  <c r="W90" i="3"/>
  <c r="V90" i="3" s="1"/>
  <c r="Q90" i="3" s="1"/>
  <c r="W89" i="3"/>
  <c r="V89" i="3" s="1"/>
  <c r="Q89" i="3" s="1"/>
  <c r="W88" i="3"/>
  <c r="V88" i="3" s="1"/>
  <c r="Q88" i="3" s="1"/>
  <c r="W87" i="3"/>
  <c r="V87" i="3" s="1"/>
  <c r="Q87" i="3" s="1"/>
  <c r="W86" i="3"/>
  <c r="V86" i="3" s="1"/>
  <c r="Q86" i="3" s="1"/>
  <c r="W85" i="3"/>
  <c r="V85" i="3" s="1"/>
  <c r="Q85" i="3" s="1"/>
  <c r="W84" i="3"/>
  <c r="V84" i="3" s="1"/>
  <c r="Q84" i="3" s="1"/>
  <c r="W83" i="3"/>
  <c r="V83" i="3" s="1"/>
  <c r="Q83" i="3" s="1"/>
  <c r="W82" i="3"/>
  <c r="V82" i="3" s="1"/>
  <c r="Q82" i="3" s="1"/>
  <c r="W81" i="3"/>
  <c r="V81" i="3" s="1"/>
  <c r="Q81" i="3" s="1"/>
  <c r="W80" i="3"/>
  <c r="V80" i="3" s="1"/>
  <c r="Q80" i="3" s="1"/>
  <c r="W79" i="3"/>
  <c r="V79" i="3" s="1"/>
  <c r="Q79" i="3" s="1"/>
  <c r="W78" i="3"/>
  <c r="V78" i="3" s="1"/>
  <c r="Q78" i="3" s="1"/>
  <c r="W77" i="3"/>
  <c r="V77" i="3" s="1"/>
  <c r="Q77" i="3" s="1"/>
  <c r="W76" i="3"/>
  <c r="V76" i="3" s="1"/>
  <c r="Q76" i="3" s="1"/>
  <c r="W75" i="3"/>
  <c r="V75" i="3" s="1"/>
  <c r="Q75" i="3" s="1"/>
  <c r="W74" i="3"/>
  <c r="V74" i="3" s="1"/>
  <c r="Q74" i="3" s="1"/>
  <c r="W73" i="3"/>
  <c r="V73" i="3" s="1"/>
  <c r="Q73" i="3" s="1"/>
  <c r="W72" i="3"/>
  <c r="V72" i="3" s="1"/>
  <c r="Q72" i="3" s="1"/>
  <c r="W71" i="3"/>
  <c r="V71" i="3" s="1"/>
  <c r="Q71" i="3" s="1"/>
  <c r="W70" i="3"/>
  <c r="V70" i="3" s="1"/>
  <c r="Q70" i="3" s="1"/>
  <c r="W69" i="3"/>
  <c r="V69" i="3" s="1"/>
  <c r="Q69" i="3" s="1"/>
  <c r="W68" i="3"/>
  <c r="V68" i="3" s="1"/>
  <c r="Q68" i="3" s="1"/>
  <c r="W67" i="3"/>
  <c r="V67" i="3" s="1"/>
  <c r="Q67" i="3" s="1"/>
  <c r="W66" i="3"/>
  <c r="V66" i="3" s="1"/>
  <c r="Q66" i="3" s="1"/>
  <c r="W65" i="3"/>
  <c r="V65" i="3" s="1"/>
  <c r="Q65" i="3" s="1"/>
  <c r="W64" i="3"/>
  <c r="V64" i="3" s="1"/>
  <c r="Q64" i="3" s="1"/>
  <c r="W63" i="3"/>
  <c r="V63" i="3" s="1"/>
  <c r="Q63" i="3" s="1"/>
  <c r="W62" i="3"/>
  <c r="V62" i="3" s="1"/>
  <c r="Q62" i="3" s="1"/>
  <c r="W61" i="3"/>
  <c r="V61" i="3" s="1"/>
  <c r="Q61" i="3" s="1"/>
  <c r="W60" i="3"/>
  <c r="V60" i="3" s="1"/>
  <c r="Q60" i="3" s="1"/>
  <c r="W59" i="3"/>
  <c r="V59" i="3" s="1"/>
  <c r="Q59" i="3" s="1"/>
  <c r="W58" i="3"/>
  <c r="V58" i="3" s="1"/>
  <c r="Q58" i="3" s="1"/>
  <c r="W57" i="3"/>
  <c r="V57" i="3" s="1"/>
  <c r="Q57" i="3" s="1"/>
  <c r="W56" i="3"/>
  <c r="V56" i="3" s="1"/>
  <c r="Q56" i="3" s="1"/>
  <c r="W55" i="3"/>
  <c r="V55" i="3" s="1"/>
  <c r="Q55" i="3" s="1"/>
  <c r="W54" i="3"/>
  <c r="V54" i="3" s="1"/>
  <c r="Q54" i="3" s="1"/>
  <c r="W53" i="3"/>
  <c r="V53" i="3" s="1"/>
  <c r="Q53" i="3" s="1"/>
  <c r="W52" i="3"/>
  <c r="V52" i="3" s="1"/>
  <c r="Q52" i="3" s="1"/>
  <c r="W51" i="3"/>
  <c r="V51" i="3" s="1"/>
  <c r="Q51" i="3" s="1"/>
  <c r="W50" i="3"/>
  <c r="V50" i="3" s="1"/>
  <c r="Q50" i="3" s="1"/>
  <c r="W49" i="3"/>
  <c r="V49" i="3" s="1"/>
  <c r="Q49" i="3" s="1"/>
  <c r="W48" i="3"/>
  <c r="V48" i="3" s="1"/>
  <c r="Q48" i="3" s="1"/>
  <c r="W47" i="3"/>
  <c r="V47" i="3" s="1"/>
  <c r="Q47" i="3" s="1"/>
  <c r="W46" i="3"/>
  <c r="V46" i="3" s="1"/>
  <c r="Q46" i="3" s="1"/>
  <c r="W45" i="3"/>
  <c r="V45" i="3" s="1"/>
  <c r="Q45" i="3" s="1"/>
  <c r="W44" i="3"/>
  <c r="V44" i="3" s="1"/>
  <c r="Q44" i="3" s="1"/>
  <c r="W43" i="3"/>
  <c r="V43" i="3" s="1"/>
  <c r="Q43" i="3" s="1"/>
  <c r="W42" i="3"/>
  <c r="V42" i="3" s="1"/>
  <c r="Q42" i="3" s="1"/>
  <c r="W41" i="3"/>
  <c r="V41" i="3" s="1"/>
  <c r="Q41" i="3" s="1"/>
  <c r="W40" i="3"/>
  <c r="V40" i="3" s="1"/>
  <c r="Q40" i="3" s="1"/>
  <c r="W39" i="3"/>
  <c r="V39" i="3" s="1"/>
  <c r="Q39" i="3" s="1"/>
  <c r="W38" i="3"/>
  <c r="V38" i="3" s="1"/>
  <c r="Q38" i="3" s="1"/>
  <c r="W37" i="3"/>
  <c r="V37" i="3" s="1"/>
  <c r="Q37" i="3" s="1"/>
  <c r="W36" i="3"/>
  <c r="V36" i="3" s="1"/>
  <c r="Q36" i="3" s="1"/>
  <c r="W35" i="3"/>
  <c r="V35" i="3" s="1"/>
  <c r="Q35" i="3" s="1"/>
  <c r="W34" i="3"/>
  <c r="V34" i="3" s="1"/>
  <c r="Q34" i="3" s="1"/>
  <c r="W33" i="3"/>
  <c r="V33" i="3" s="1"/>
  <c r="Q33" i="3" s="1"/>
  <c r="W32" i="3"/>
  <c r="V32" i="3" s="1"/>
  <c r="Q32" i="3" s="1"/>
  <c r="W31" i="3"/>
  <c r="V31" i="3" s="1"/>
  <c r="Q31" i="3" s="1"/>
  <c r="W30" i="3"/>
  <c r="V30" i="3" s="1"/>
  <c r="Q30" i="3" s="1"/>
  <c r="W29" i="3"/>
  <c r="V29" i="3" s="1"/>
  <c r="Q29" i="3" s="1"/>
  <c r="W28" i="3"/>
  <c r="V28" i="3" s="1"/>
  <c r="Q28" i="3" s="1"/>
  <c r="W27" i="3"/>
  <c r="V27" i="3" s="1"/>
  <c r="Q27" i="3" s="1"/>
  <c r="W26" i="3"/>
  <c r="V26" i="3" s="1"/>
  <c r="Q26" i="3" s="1"/>
  <c r="W25" i="3"/>
  <c r="V25" i="3" s="1"/>
  <c r="Q25" i="3" s="1"/>
  <c r="W24" i="3"/>
  <c r="V24" i="3" s="1"/>
  <c r="Q24" i="3" s="1"/>
  <c r="W23" i="3"/>
  <c r="V23" i="3" s="1"/>
  <c r="Q23" i="3" s="1"/>
  <c r="W22" i="3"/>
  <c r="V22" i="3" s="1"/>
  <c r="Q22" i="3" s="1"/>
  <c r="W21" i="3"/>
  <c r="V21" i="3" s="1"/>
  <c r="Q21" i="3" s="1"/>
  <c r="W20" i="3"/>
  <c r="V20" i="3" s="1"/>
  <c r="Q20" i="3" s="1"/>
  <c r="W19" i="3"/>
  <c r="V19" i="3" s="1"/>
  <c r="Q19" i="3" s="1"/>
  <c r="W18" i="3"/>
  <c r="V18" i="3" s="1"/>
  <c r="Q18" i="3" s="1"/>
  <c r="W17" i="3"/>
  <c r="V17" i="3" s="1"/>
  <c r="Q17" i="3" s="1"/>
  <c r="W16" i="3"/>
  <c r="V16" i="3" s="1"/>
  <c r="Q16" i="3" s="1"/>
  <c r="W15" i="3"/>
  <c r="V15" i="3" s="1"/>
  <c r="Q15" i="3" s="1"/>
  <c r="W14" i="3"/>
  <c r="V14" i="3" s="1"/>
  <c r="Q14" i="3" s="1"/>
  <c r="W13" i="3"/>
  <c r="V13" i="3" s="1"/>
  <c r="Q13" i="3" s="1"/>
  <c r="W12" i="3"/>
  <c r="V12" i="3" s="1"/>
  <c r="Q12" i="3" s="1"/>
  <c r="W11" i="3"/>
  <c r="V11" i="3" s="1"/>
  <c r="Q11" i="3" s="1"/>
  <c r="W10" i="3"/>
  <c r="V10" i="3" s="1"/>
  <c r="Q10" i="3" s="1"/>
  <c r="W9" i="3"/>
  <c r="V9" i="3" s="1"/>
  <c r="Q9" i="3" s="1"/>
  <c r="W8" i="3"/>
  <c r="V8" i="3" s="1"/>
  <c r="Q8" i="3" s="1"/>
  <c r="W7" i="3"/>
  <c r="V7" i="3" s="1"/>
  <c r="Q7" i="3" s="1"/>
  <c r="W6" i="3"/>
  <c r="V6" i="3" s="1"/>
  <c r="Q6" i="3" s="1"/>
  <c r="W5" i="3"/>
  <c r="V5" i="3" s="1"/>
  <c r="Q5" i="3" s="1"/>
  <c r="W4" i="3"/>
  <c r="V4" i="3" s="1"/>
  <c r="Q4" i="3" s="1"/>
  <c r="I3" i="3"/>
  <c r="X3" i="3"/>
  <c r="V3" i="3"/>
  <c r="Q3" i="3" s="1"/>
  <c r="I2" i="3"/>
  <c r="X2" i="3"/>
  <c r="E3" i="3"/>
  <c r="F3" i="3" s="1"/>
  <c r="P3" i="3" s="1"/>
  <c r="R3" i="3" s="1"/>
  <c r="I7" i="3"/>
  <c r="E10" i="3"/>
  <c r="E15" i="3"/>
  <c r="E16" i="3"/>
  <c r="E17" i="3"/>
  <c r="E18" i="3"/>
  <c r="E21" i="3"/>
  <c r="E23" i="3"/>
  <c r="F23" i="3" s="1"/>
  <c r="P23" i="3" s="1"/>
  <c r="R23" i="3" s="1"/>
  <c r="E24" i="3"/>
  <c r="F24" i="3" s="1"/>
  <c r="P24" i="3" s="1"/>
  <c r="R24" i="3" s="1"/>
  <c r="E25" i="3"/>
  <c r="I26" i="3"/>
  <c r="E26" i="3"/>
  <c r="E27" i="3"/>
  <c r="E28" i="3"/>
  <c r="F28" i="3" s="1"/>
  <c r="P28" i="3" s="1"/>
  <c r="R28" i="3" s="1"/>
  <c r="E29" i="3"/>
  <c r="F29" i="3" s="1"/>
  <c r="P29" i="3" s="1"/>
  <c r="R29" i="3" s="1"/>
  <c r="E34" i="3"/>
  <c r="F34" i="3" s="1"/>
  <c r="P34" i="3" s="1"/>
  <c r="R34" i="3" s="1"/>
  <c r="E35" i="3"/>
  <c r="E36" i="3"/>
  <c r="I37" i="3"/>
  <c r="E37" i="3"/>
  <c r="E38" i="3"/>
  <c r="E39" i="3"/>
  <c r="F39" i="3" s="1"/>
  <c r="P39" i="3" s="1"/>
  <c r="R39" i="3" s="1"/>
  <c r="E40" i="3"/>
  <c r="F40" i="3" s="1"/>
  <c r="P40" i="3" s="1"/>
  <c r="R40" i="3" s="1"/>
  <c r="E41" i="3"/>
  <c r="F41" i="3" s="1"/>
  <c r="P41" i="3" s="1"/>
  <c r="R41" i="3" s="1"/>
  <c r="E45" i="3"/>
  <c r="E46" i="3"/>
  <c r="I48" i="3"/>
  <c r="E48" i="3"/>
  <c r="E49" i="3"/>
  <c r="F49" i="3" s="1"/>
  <c r="P49" i="3" s="1"/>
  <c r="R49" i="3" s="1"/>
  <c r="E51" i="3"/>
  <c r="F51" i="3" s="1"/>
  <c r="P51" i="3" s="1"/>
  <c r="R51" i="3" s="1"/>
  <c r="E52" i="3"/>
  <c r="E53" i="3"/>
  <c r="F53" i="3" s="1"/>
  <c r="P53" i="3" s="1"/>
  <c r="R53" i="3" s="1"/>
  <c r="E56" i="3"/>
  <c r="E57" i="3"/>
  <c r="E58" i="3"/>
  <c r="E59" i="3"/>
  <c r="E60" i="3"/>
  <c r="E61" i="3"/>
  <c r="E62" i="3"/>
  <c r="F62" i="3" s="1"/>
  <c r="P62" i="3" s="1"/>
  <c r="R62" i="3" s="1"/>
  <c r="E63" i="3"/>
  <c r="E64" i="3"/>
  <c r="E65" i="3"/>
  <c r="F65" i="3" s="1"/>
  <c r="P65" i="3" s="1"/>
  <c r="R65" i="3" s="1"/>
  <c r="E68" i="3"/>
  <c r="E70" i="3"/>
  <c r="F70" i="3" s="1"/>
  <c r="P70" i="3" s="1"/>
  <c r="R70" i="3" s="1"/>
  <c r="E71" i="3"/>
  <c r="E72" i="3"/>
  <c r="E73" i="3"/>
  <c r="F73" i="3" s="1"/>
  <c r="P73" i="3" s="1"/>
  <c r="R73" i="3" s="1"/>
  <c r="E74" i="3"/>
  <c r="E75" i="3"/>
  <c r="E76" i="3"/>
  <c r="E77" i="3"/>
  <c r="F77" i="3" s="1"/>
  <c r="P77" i="3" s="1"/>
  <c r="R77" i="3" s="1"/>
  <c r="E81" i="3"/>
  <c r="E82" i="3"/>
  <c r="E84" i="3"/>
  <c r="E85" i="3"/>
  <c r="F85" i="3" s="1"/>
  <c r="P85" i="3" s="1"/>
  <c r="R85" i="3" s="1"/>
  <c r="E87" i="3"/>
  <c r="E88" i="3"/>
  <c r="F88" i="3" s="1"/>
  <c r="P88" i="3" s="1"/>
  <c r="R88" i="3" s="1"/>
  <c r="E89" i="3"/>
  <c r="F89" i="3" s="1"/>
  <c r="P89" i="3" s="1"/>
  <c r="R89" i="3" s="1"/>
  <c r="E93" i="3"/>
  <c r="E95" i="3"/>
  <c r="F95" i="3" s="1"/>
  <c r="P95" i="3" s="1"/>
  <c r="R95" i="3" s="1"/>
  <c r="E97" i="3"/>
  <c r="F97" i="3" s="1"/>
  <c r="P97" i="3" s="1"/>
  <c r="R97" i="3" s="1"/>
  <c r="E98" i="3"/>
  <c r="F98" i="3" s="1"/>
  <c r="P98" i="3" s="1"/>
  <c r="R98" i="3" s="1"/>
  <c r="E99" i="3"/>
  <c r="E100" i="3"/>
  <c r="H101" i="3"/>
  <c r="E7" i="3"/>
  <c r="E5" i="3"/>
  <c r="E13" i="3"/>
  <c r="F13" i="3" s="1"/>
  <c r="P13" i="3" s="1"/>
  <c r="R13" i="3" s="1"/>
  <c r="E4" i="3"/>
  <c r="F4" i="3" s="1"/>
  <c r="P4" i="3" s="1"/>
  <c r="R4" i="3" s="1"/>
  <c r="E9" i="3"/>
  <c r="F9" i="3" s="1"/>
  <c r="I12" i="3"/>
  <c r="E12" i="3"/>
  <c r="F12" i="3" s="1"/>
  <c r="P12" i="3" s="1"/>
  <c r="R12" i="3" s="1"/>
  <c r="E2" i="3"/>
  <c r="F15" i="3"/>
  <c r="P15" i="3" s="1"/>
  <c r="R15" i="3" s="1"/>
  <c r="F27" i="3"/>
  <c r="P27" i="3" s="1"/>
  <c r="R27" i="3" s="1"/>
  <c r="F63" i="3"/>
  <c r="P63" i="3" s="1"/>
  <c r="R63" i="3" s="1"/>
  <c r="F87" i="3"/>
  <c r="P87" i="3" s="1"/>
  <c r="R87" i="3" s="1"/>
  <c r="C13" i="5"/>
  <c r="D13" i="5" s="1"/>
  <c r="C22" i="5"/>
  <c r="D22" i="5" s="1"/>
  <c r="C18" i="5"/>
  <c r="D18" i="5" s="1"/>
  <c r="C14" i="5"/>
  <c r="D14" i="5" s="1"/>
  <c r="C17" i="5"/>
  <c r="D17" i="5" s="1"/>
  <c r="C21" i="5"/>
  <c r="D21" i="5" s="1"/>
  <c r="C15" i="5"/>
  <c r="D15" i="5" s="1"/>
  <c r="C20" i="5"/>
  <c r="D20" i="5" s="1"/>
  <c r="C12" i="5"/>
  <c r="D12" i="5" s="1"/>
  <c r="C16" i="5"/>
  <c r="D16" i="5" s="1"/>
  <c r="C19" i="5"/>
  <c r="D19" i="5" s="1"/>
  <c r="F59" i="3"/>
  <c r="P59" i="3" s="1"/>
  <c r="R59" i="3" s="1"/>
  <c r="F26" i="3"/>
  <c r="P26" i="3" s="1"/>
  <c r="R26" i="3" s="1"/>
  <c r="F48" i="3"/>
  <c r="P48" i="3" s="1"/>
  <c r="R48" i="3" s="1"/>
  <c r="F100" i="3"/>
  <c r="P100" i="3" s="1"/>
  <c r="R100" i="3" s="1"/>
  <c r="F10" i="3"/>
  <c r="P10" i="3" s="1"/>
  <c r="R10" i="3" s="1"/>
  <c r="E43" i="3"/>
  <c r="F45" i="3"/>
  <c r="P45" i="3" s="1"/>
  <c r="R45" i="3" s="1"/>
  <c r="I73" i="3"/>
  <c r="E92" i="3"/>
  <c r="F92" i="3" s="1"/>
  <c r="P92" i="3" s="1"/>
  <c r="R92" i="3" s="1"/>
  <c r="E11" i="3"/>
  <c r="F11" i="3" s="1"/>
  <c r="P11" i="3" s="1"/>
  <c r="R11" i="3" s="1"/>
  <c r="F36" i="3"/>
  <c r="P36" i="3" s="1"/>
  <c r="R36" i="3" s="1"/>
  <c r="F84" i="3"/>
  <c r="P84" i="3" s="1"/>
  <c r="R84" i="3" s="1"/>
  <c r="I86" i="3"/>
  <c r="E32" i="3"/>
  <c r="F32" i="3" s="1"/>
  <c r="P32" i="3" s="1"/>
  <c r="R32" i="3" s="1"/>
  <c r="F74" i="3"/>
  <c r="P74" i="3" s="1"/>
  <c r="R74" i="3" s="1"/>
  <c r="F82" i="3"/>
  <c r="P82" i="3" s="1"/>
  <c r="R82" i="3" s="1"/>
  <c r="E86" i="3"/>
  <c r="F86" i="3" s="1"/>
  <c r="P86" i="3" s="1"/>
  <c r="R86" i="3" s="1"/>
  <c r="E20" i="3"/>
  <c r="F20" i="3" s="1"/>
  <c r="P20" i="3" s="1"/>
  <c r="R20" i="3" s="1"/>
  <c r="I50" i="3"/>
  <c r="F61" i="3"/>
  <c r="P61" i="3" s="1"/>
  <c r="R61" i="3" s="1"/>
  <c r="E96" i="3"/>
  <c r="F96" i="3" s="1"/>
  <c r="P96" i="3" s="1"/>
  <c r="R96" i="3" s="1"/>
  <c r="E6" i="3"/>
  <c r="F6" i="3" s="1"/>
  <c r="P6" i="3" s="1"/>
  <c r="R6" i="3" s="1"/>
  <c r="F17" i="3"/>
  <c r="P17" i="3" s="1"/>
  <c r="R17" i="3" s="1"/>
  <c r="F46" i="3"/>
  <c r="P46" i="3" s="1"/>
  <c r="R46" i="3" s="1"/>
  <c r="E50" i="3"/>
  <c r="E79" i="3"/>
  <c r="F79" i="3" s="1"/>
  <c r="P79" i="3" s="1"/>
  <c r="R79" i="3" s="1"/>
  <c r="F81" i="3"/>
  <c r="P81" i="3" s="1"/>
  <c r="R81" i="3" s="1"/>
  <c r="F64" i="3"/>
  <c r="P64" i="3" s="1"/>
  <c r="R64" i="3" s="1"/>
  <c r="E67" i="3"/>
  <c r="F67" i="3" s="1"/>
  <c r="P67" i="3" s="1"/>
  <c r="R67" i="3" s="1"/>
  <c r="F71" i="3"/>
  <c r="P71" i="3" s="1"/>
  <c r="R71" i="3" s="1"/>
  <c r="I79" i="3"/>
  <c r="E94" i="3"/>
  <c r="F94" i="3" s="1"/>
  <c r="P94" i="3" s="1"/>
  <c r="R94" i="3" s="1"/>
  <c r="F25" i="3"/>
  <c r="P25" i="3" s="1"/>
  <c r="R25" i="3" s="1"/>
  <c r="F43" i="3"/>
  <c r="P43" i="3" s="1"/>
  <c r="R43" i="3" s="1"/>
  <c r="F52" i="3"/>
  <c r="P52" i="3" s="1"/>
  <c r="R52" i="3" s="1"/>
  <c r="E14" i="3"/>
  <c r="E31" i="3"/>
  <c r="F31" i="3" s="1"/>
  <c r="P31" i="3" s="1"/>
  <c r="R31" i="3" s="1"/>
  <c r="F35" i="3"/>
  <c r="P35" i="3" s="1"/>
  <c r="R35" i="3" s="1"/>
  <c r="F37" i="3"/>
  <c r="P37" i="3" s="1"/>
  <c r="R37" i="3" s="1"/>
  <c r="I43" i="3"/>
  <c r="I14" i="3"/>
  <c r="F14" i="3"/>
  <c r="P14" i="3" s="1"/>
  <c r="R14" i="3" s="1"/>
  <c r="E83" i="3"/>
  <c r="F7" i="3"/>
  <c r="P7" i="3" s="1"/>
  <c r="R7" i="3" s="1"/>
  <c r="I9" i="3"/>
  <c r="F16" i="3"/>
  <c r="P16" i="3" s="1"/>
  <c r="R16" i="3" s="1"/>
  <c r="E47" i="3"/>
  <c r="I56" i="3"/>
  <c r="I58" i="3"/>
  <c r="F60" i="3"/>
  <c r="P60" i="3" s="1"/>
  <c r="R60" i="3" s="1"/>
  <c r="F68" i="3"/>
  <c r="P68" i="3" s="1"/>
  <c r="R68" i="3" s="1"/>
  <c r="F72" i="3"/>
  <c r="P72" i="3" s="1"/>
  <c r="R72" i="3" s="1"/>
  <c r="E22" i="3"/>
  <c r="F22" i="3" s="1"/>
  <c r="P22" i="3" s="1"/>
  <c r="R22" i="3" s="1"/>
  <c r="F38" i="3"/>
  <c r="P38" i="3" s="1"/>
  <c r="R38" i="3" s="1"/>
  <c r="I11" i="3"/>
  <c r="I34" i="3"/>
  <c r="F56" i="3"/>
  <c r="P56" i="3" s="1"/>
  <c r="R56" i="3" s="1"/>
  <c r="F58" i="3"/>
  <c r="P58" i="3" s="1"/>
  <c r="R58" i="3" s="1"/>
  <c r="F99" i="3"/>
  <c r="P99" i="3" s="1"/>
  <c r="R99" i="3" s="1"/>
  <c r="I35" i="3"/>
  <c r="I71" i="3"/>
  <c r="E8" i="3"/>
  <c r="F8" i="3" s="1"/>
  <c r="E19" i="3"/>
  <c r="F19" i="3" s="1"/>
  <c r="P19" i="3" s="1"/>
  <c r="R19" i="3" s="1"/>
  <c r="E44" i="3"/>
  <c r="F44" i="3" s="1"/>
  <c r="P44" i="3" s="1"/>
  <c r="R44" i="3" s="1"/>
  <c r="E55" i="3"/>
  <c r="F55" i="3" s="1"/>
  <c r="P55" i="3" s="1"/>
  <c r="R55" i="3" s="1"/>
  <c r="E69" i="3"/>
  <c r="F69" i="3" s="1"/>
  <c r="P69" i="3" s="1"/>
  <c r="R69" i="3" s="1"/>
  <c r="E80" i="3"/>
  <c r="F80" i="3" s="1"/>
  <c r="P80" i="3" s="1"/>
  <c r="R80" i="3" s="1"/>
  <c r="E91" i="3"/>
  <c r="F91" i="3" s="1"/>
  <c r="P91" i="3" s="1"/>
  <c r="R91" i="3" s="1"/>
  <c r="E33" i="3"/>
  <c r="F18" i="3"/>
  <c r="P18" i="3" s="1"/>
  <c r="R18" i="3" s="1"/>
  <c r="F21" i="3"/>
  <c r="P21" i="3" s="1"/>
  <c r="R21" i="3" s="1"/>
  <c r="I32" i="3"/>
  <c r="F57" i="3"/>
  <c r="P57" i="3" s="1"/>
  <c r="R57" i="3" s="1"/>
  <c r="I68" i="3"/>
  <c r="F93" i="3"/>
  <c r="P93" i="3" s="1"/>
  <c r="R93" i="3" s="1"/>
  <c r="E30" i="3"/>
  <c r="E42" i="3"/>
  <c r="F42" i="3" s="1"/>
  <c r="P42" i="3" s="1"/>
  <c r="R42" i="3" s="1"/>
  <c r="E54" i="3"/>
  <c r="E66" i="3"/>
  <c r="E78" i="3"/>
  <c r="E90" i="3"/>
  <c r="J101" i="3" l="1"/>
  <c r="S101" i="3" s="1"/>
  <c r="P8" i="3"/>
  <c r="R8" i="3" s="1"/>
  <c r="H8" i="3"/>
  <c r="P9" i="3"/>
  <c r="R9" i="3" s="1"/>
  <c r="H9" i="3"/>
  <c r="H112" i="3"/>
  <c r="O112" i="3"/>
  <c r="H102" i="3"/>
  <c r="O102" i="3"/>
  <c r="H103" i="3"/>
  <c r="O103" i="3"/>
  <c r="H104" i="3"/>
  <c r="O104" i="3"/>
  <c r="H105" i="3"/>
  <c r="O105" i="3"/>
  <c r="H106" i="3"/>
  <c r="O106" i="3"/>
  <c r="H107" i="3"/>
  <c r="O107" i="3"/>
  <c r="H108" i="3"/>
  <c r="O108" i="3"/>
  <c r="H109" i="3"/>
  <c r="O109" i="3"/>
  <c r="H110" i="3"/>
  <c r="O110" i="3"/>
  <c r="H111" i="3"/>
  <c r="O111" i="3"/>
  <c r="H113" i="3"/>
  <c r="O113" i="3"/>
  <c r="H114" i="3"/>
  <c r="O114" i="3"/>
  <c r="F2" i="3"/>
  <c r="P2" i="3" s="1"/>
  <c r="R2" i="3" s="1"/>
  <c r="O101" i="3"/>
  <c r="P101" i="3"/>
  <c r="R101" i="3" s="1"/>
  <c r="H42" i="3"/>
  <c r="O42" i="3"/>
  <c r="H93" i="3"/>
  <c r="O93" i="3"/>
  <c r="H57" i="3"/>
  <c r="O57" i="3"/>
  <c r="H21" i="3"/>
  <c r="O21" i="3"/>
  <c r="H18" i="3"/>
  <c r="O18" i="3"/>
  <c r="H91" i="3"/>
  <c r="O91" i="3"/>
  <c r="H80" i="3"/>
  <c r="O80" i="3"/>
  <c r="H69" i="3"/>
  <c r="O69" i="3"/>
  <c r="H55" i="3"/>
  <c r="O55" i="3"/>
  <c r="H44" i="3"/>
  <c r="O44" i="3"/>
  <c r="H19" i="3"/>
  <c r="O19" i="3"/>
  <c r="J8" i="3"/>
  <c r="S8" i="3" s="1"/>
  <c r="O8" i="3"/>
  <c r="H99" i="3"/>
  <c r="O99" i="3"/>
  <c r="H58" i="3"/>
  <c r="O58" i="3"/>
  <c r="H56" i="3"/>
  <c r="O56" i="3"/>
  <c r="H38" i="3"/>
  <c r="O38" i="3"/>
  <c r="H22" i="3"/>
  <c r="O22" i="3"/>
  <c r="H72" i="3"/>
  <c r="O72" i="3"/>
  <c r="H68" i="3"/>
  <c r="O68" i="3"/>
  <c r="H60" i="3"/>
  <c r="O60" i="3"/>
  <c r="H16" i="3"/>
  <c r="O16" i="3"/>
  <c r="H7" i="3"/>
  <c r="O7" i="3"/>
  <c r="H14" i="3"/>
  <c r="O14" i="3"/>
  <c r="H37" i="3"/>
  <c r="O37" i="3"/>
  <c r="H35" i="3"/>
  <c r="O35" i="3"/>
  <c r="H31" i="3"/>
  <c r="O31" i="3"/>
  <c r="H52" i="3"/>
  <c r="O52" i="3"/>
  <c r="H43" i="3"/>
  <c r="O43" i="3"/>
  <c r="H25" i="3"/>
  <c r="O25" i="3"/>
  <c r="H94" i="3"/>
  <c r="O94" i="3"/>
  <c r="H71" i="3"/>
  <c r="O71" i="3"/>
  <c r="H67" i="3"/>
  <c r="O67" i="3"/>
  <c r="H64" i="3"/>
  <c r="O64" i="3"/>
  <c r="H81" i="3"/>
  <c r="O81" i="3"/>
  <c r="H79" i="3"/>
  <c r="O79" i="3"/>
  <c r="H46" i="3"/>
  <c r="O46" i="3"/>
  <c r="H17" i="3"/>
  <c r="O17" i="3"/>
  <c r="H6" i="3"/>
  <c r="O6" i="3"/>
  <c r="H96" i="3"/>
  <c r="O96" i="3"/>
  <c r="H61" i="3"/>
  <c r="O61" i="3"/>
  <c r="H20" i="3"/>
  <c r="O20" i="3"/>
  <c r="H86" i="3"/>
  <c r="O86" i="3"/>
  <c r="H82" i="3"/>
  <c r="O82" i="3"/>
  <c r="H74" i="3"/>
  <c r="O74" i="3"/>
  <c r="H32" i="3"/>
  <c r="O32" i="3"/>
  <c r="H84" i="3"/>
  <c r="O84" i="3"/>
  <c r="H36" i="3"/>
  <c r="O36" i="3"/>
  <c r="H11" i="3"/>
  <c r="O11" i="3"/>
  <c r="H92" i="3"/>
  <c r="O92" i="3"/>
  <c r="H45" i="3"/>
  <c r="O45" i="3"/>
  <c r="H10" i="3"/>
  <c r="O10" i="3"/>
  <c r="H100" i="3"/>
  <c r="O100" i="3"/>
  <c r="H48" i="3"/>
  <c r="O48" i="3"/>
  <c r="H26" i="3"/>
  <c r="O26" i="3"/>
  <c r="H59" i="3"/>
  <c r="O59" i="3"/>
  <c r="H87" i="3"/>
  <c r="O87" i="3"/>
  <c r="H63" i="3"/>
  <c r="O63" i="3"/>
  <c r="H27" i="3"/>
  <c r="O27" i="3"/>
  <c r="H15" i="3"/>
  <c r="O15" i="3"/>
  <c r="H2" i="3"/>
  <c r="O2" i="3"/>
  <c r="H12" i="3"/>
  <c r="O12" i="3"/>
  <c r="O9" i="3"/>
  <c r="H4" i="3"/>
  <c r="O4" i="3"/>
  <c r="H13" i="3"/>
  <c r="O13" i="3"/>
  <c r="H98" i="3"/>
  <c r="O98" i="3"/>
  <c r="H97" i="3"/>
  <c r="O97" i="3"/>
  <c r="H95" i="3"/>
  <c r="O95" i="3"/>
  <c r="H89" i="3"/>
  <c r="O89" i="3"/>
  <c r="H88" i="3"/>
  <c r="O88" i="3"/>
  <c r="H85" i="3"/>
  <c r="O85" i="3"/>
  <c r="H77" i="3"/>
  <c r="O77" i="3"/>
  <c r="H73" i="3"/>
  <c r="O73" i="3"/>
  <c r="H70" i="3"/>
  <c r="O70" i="3"/>
  <c r="H65" i="3"/>
  <c r="O65" i="3"/>
  <c r="H62" i="3"/>
  <c r="O62" i="3"/>
  <c r="H53" i="3"/>
  <c r="O53" i="3"/>
  <c r="H51" i="3"/>
  <c r="O51" i="3"/>
  <c r="H49" i="3"/>
  <c r="O49" i="3"/>
  <c r="H41" i="3"/>
  <c r="O41" i="3"/>
  <c r="H40" i="3"/>
  <c r="O40" i="3"/>
  <c r="H39" i="3"/>
  <c r="O39" i="3"/>
  <c r="H34" i="3"/>
  <c r="O34" i="3"/>
  <c r="H29" i="3"/>
  <c r="O29" i="3"/>
  <c r="H28" i="3"/>
  <c r="O28" i="3"/>
  <c r="H24" i="3"/>
  <c r="O24" i="3"/>
  <c r="H23" i="3"/>
  <c r="O23" i="3"/>
  <c r="H3" i="3"/>
  <c r="O3" i="3"/>
  <c r="J2" i="3"/>
  <c r="S2" i="3" s="1"/>
  <c r="K2" i="3"/>
  <c r="J3" i="3"/>
  <c r="S3" i="3" s="1"/>
  <c r="J58" i="3"/>
  <c r="S58" i="3" s="1"/>
  <c r="L58" i="3"/>
  <c r="J56" i="3"/>
  <c r="S56" i="3" s="1"/>
  <c r="L56" i="3"/>
  <c r="J72" i="3"/>
  <c r="S72" i="3" s="1"/>
  <c r="L72" i="3"/>
  <c r="J37" i="3"/>
  <c r="S37" i="3" s="1"/>
  <c r="L37" i="3"/>
  <c r="J52" i="3"/>
  <c r="S52" i="3" s="1"/>
  <c r="L52" i="3"/>
  <c r="J25" i="3"/>
  <c r="S25" i="3" s="1"/>
  <c r="L25" i="3"/>
  <c r="J71" i="3"/>
  <c r="S71" i="3" s="1"/>
  <c r="L71" i="3"/>
  <c r="J46" i="3"/>
  <c r="S46" i="3" s="1"/>
  <c r="L46" i="3"/>
  <c r="J61" i="3"/>
  <c r="S61" i="3" s="1"/>
  <c r="L61" i="3"/>
  <c r="J82" i="3"/>
  <c r="S82" i="3" s="1"/>
  <c r="L82" i="3"/>
  <c r="J45" i="3"/>
  <c r="S45" i="3" s="1"/>
  <c r="L45" i="3"/>
  <c r="J48" i="3"/>
  <c r="S48" i="3" s="1"/>
  <c r="L48" i="3"/>
  <c r="J26" i="3"/>
  <c r="S26" i="3" s="1"/>
  <c r="L26" i="3"/>
  <c r="J59" i="3"/>
  <c r="S59" i="3" s="1"/>
  <c r="L59" i="3"/>
  <c r="F76" i="3"/>
  <c r="P76" i="3" s="1"/>
  <c r="R76" i="3" s="1"/>
  <c r="F75" i="3"/>
  <c r="P75" i="3" s="1"/>
  <c r="R75" i="3" s="1"/>
  <c r="L9" i="3"/>
  <c r="J4" i="3"/>
  <c r="S4" i="3" s="1"/>
  <c r="L4" i="3"/>
  <c r="J13" i="3"/>
  <c r="S13" i="3" s="1"/>
  <c r="L13" i="3"/>
  <c r="F5" i="3"/>
  <c r="P5" i="3" s="1"/>
  <c r="R5" i="3" s="1"/>
  <c r="L16" i="3"/>
  <c r="L27" i="3"/>
  <c r="L17" i="3"/>
  <c r="L42" i="3"/>
  <c r="L7" i="3"/>
  <c r="J7" i="3"/>
  <c r="S7" i="3" s="1"/>
  <c r="L94" i="3"/>
  <c r="L74" i="3"/>
  <c r="L91" i="3"/>
  <c r="F78" i="3"/>
  <c r="P78" i="3" s="1"/>
  <c r="R78" i="3" s="1"/>
  <c r="L14" i="3"/>
  <c r="F83" i="3"/>
  <c r="P83" i="3" s="1"/>
  <c r="R83" i="3" s="1"/>
  <c r="L43" i="3"/>
  <c r="L87" i="3"/>
  <c r="L21" i="3"/>
  <c r="F90" i="3"/>
  <c r="P90" i="3" s="1"/>
  <c r="R90" i="3" s="1"/>
  <c r="J68" i="3"/>
  <c r="S68" i="3" s="1"/>
  <c r="L68" i="3"/>
  <c r="K71" i="3"/>
  <c r="L6" i="3"/>
  <c r="L86" i="3"/>
  <c r="L63" i="3"/>
  <c r="L81" i="3"/>
  <c r="L55" i="3"/>
  <c r="L67" i="3"/>
  <c r="L57" i="3"/>
  <c r="L93" i="3"/>
  <c r="L19" i="3"/>
  <c r="L32" i="3"/>
  <c r="L11" i="3"/>
  <c r="L100" i="3"/>
  <c r="L10" i="3"/>
  <c r="L22" i="3"/>
  <c r="L31" i="3"/>
  <c r="L99" i="3"/>
  <c r="L79" i="3"/>
  <c r="L38" i="3"/>
  <c r="L92" i="3"/>
  <c r="L80" i="3"/>
  <c r="L20" i="3"/>
  <c r="L35" i="3"/>
  <c r="L69" i="3"/>
  <c r="L44" i="3"/>
  <c r="F66" i="3"/>
  <c r="P66" i="3" s="1"/>
  <c r="R66" i="3" s="1"/>
  <c r="F47" i="3"/>
  <c r="P47" i="3" s="1"/>
  <c r="R47" i="3" s="1"/>
  <c r="L96" i="3"/>
  <c r="L12" i="3"/>
  <c r="L18" i="3"/>
  <c r="F54" i="3"/>
  <c r="P54" i="3" s="1"/>
  <c r="R54" i="3" s="1"/>
  <c r="F33" i="3"/>
  <c r="P33" i="3" s="1"/>
  <c r="R33" i="3" s="1"/>
  <c r="L8" i="3"/>
  <c r="F30" i="3"/>
  <c r="P30" i="3" s="1"/>
  <c r="R30" i="3" s="1"/>
  <c r="F50" i="3"/>
  <c r="P50" i="3" s="1"/>
  <c r="R50" i="3" s="1"/>
  <c r="L84" i="3"/>
  <c r="L36" i="3"/>
  <c r="L64" i="3"/>
  <c r="L15" i="3"/>
  <c r="K68" i="3" l="1"/>
  <c r="K7" i="3"/>
  <c r="K13" i="3"/>
  <c r="K4" i="3"/>
  <c r="K59" i="3"/>
  <c r="K26" i="3"/>
  <c r="K48" i="3"/>
  <c r="K45" i="3"/>
  <c r="K82" i="3"/>
  <c r="K61" i="3"/>
  <c r="K46" i="3"/>
  <c r="K25" i="3"/>
  <c r="K52" i="3"/>
  <c r="K37" i="3"/>
  <c r="K72" i="3"/>
  <c r="K56" i="3"/>
  <c r="K58" i="3"/>
  <c r="K3" i="3"/>
  <c r="K8" i="3"/>
  <c r="L3" i="3"/>
  <c r="J12" i="3"/>
  <c r="S12" i="3" s="1"/>
  <c r="L2" i="3"/>
  <c r="J15" i="3"/>
  <c r="S15" i="3" s="1"/>
  <c r="J27" i="3"/>
  <c r="S27" i="3" s="1"/>
  <c r="J63" i="3"/>
  <c r="S63" i="3" s="1"/>
  <c r="J87" i="3"/>
  <c r="S87" i="3" s="1"/>
  <c r="J100" i="3"/>
  <c r="S100" i="3" s="1"/>
  <c r="J10" i="3"/>
  <c r="S10" i="3" s="1"/>
  <c r="J92" i="3"/>
  <c r="S92" i="3" s="1"/>
  <c r="J11" i="3"/>
  <c r="S11" i="3" s="1"/>
  <c r="J36" i="3"/>
  <c r="S36" i="3" s="1"/>
  <c r="J84" i="3"/>
  <c r="S84" i="3" s="1"/>
  <c r="J32" i="3"/>
  <c r="S32" i="3" s="1"/>
  <c r="J74" i="3"/>
  <c r="S74" i="3" s="1"/>
  <c r="J86" i="3"/>
  <c r="S86" i="3" s="1"/>
  <c r="J20" i="3"/>
  <c r="S20" i="3" s="1"/>
  <c r="J96" i="3"/>
  <c r="S96" i="3" s="1"/>
  <c r="J6" i="3"/>
  <c r="S6" i="3" s="1"/>
  <c r="J17" i="3"/>
  <c r="S17" i="3" s="1"/>
  <c r="J79" i="3"/>
  <c r="S79" i="3" s="1"/>
  <c r="J81" i="3"/>
  <c r="S81" i="3" s="1"/>
  <c r="J64" i="3"/>
  <c r="S64" i="3" s="1"/>
  <c r="J67" i="3"/>
  <c r="S67" i="3" s="1"/>
  <c r="J94" i="3"/>
  <c r="S94" i="3" s="1"/>
  <c r="J43" i="3"/>
  <c r="S43" i="3" s="1"/>
  <c r="J31" i="3"/>
  <c r="S31" i="3" s="1"/>
  <c r="J35" i="3"/>
  <c r="S35" i="3" s="1"/>
  <c r="J14" i="3"/>
  <c r="S14" i="3" s="1"/>
  <c r="J16" i="3"/>
  <c r="S16" i="3" s="1"/>
  <c r="J22" i="3"/>
  <c r="S22" i="3" s="1"/>
  <c r="J38" i="3"/>
  <c r="S38" i="3" s="1"/>
  <c r="J99" i="3"/>
  <c r="S99" i="3" s="1"/>
  <c r="J19" i="3"/>
  <c r="S19" i="3" s="1"/>
  <c r="J44" i="3"/>
  <c r="S44" i="3" s="1"/>
  <c r="J55" i="3"/>
  <c r="S55" i="3" s="1"/>
  <c r="J69" i="3"/>
  <c r="S69" i="3" s="1"/>
  <c r="J80" i="3"/>
  <c r="S80" i="3" s="1"/>
  <c r="J91" i="3"/>
  <c r="S91" i="3" s="1"/>
  <c r="J18" i="3"/>
  <c r="S18" i="3" s="1"/>
  <c r="J21" i="3"/>
  <c r="S21" i="3" s="1"/>
  <c r="J57" i="3"/>
  <c r="S57" i="3" s="1"/>
  <c r="J93" i="3"/>
  <c r="S93" i="3" s="1"/>
  <c r="J42" i="3"/>
  <c r="S42" i="3" s="1"/>
  <c r="J114" i="3"/>
  <c r="S114" i="3" s="1"/>
  <c r="J113" i="3"/>
  <c r="S113" i="3" s="1"/>
  <c r="J111" i="3"/>
  <c r="S111" i="3" s="1"/>
  <c r="J110" i="3"/>
  <c r="S110" i="3" s="1"/>
  <c r="J109" i="3"/>
  <c r="S109" i="3" s="1"/>
  <c r="J108" i="3"/>
  <c r="S108" i="3" s="1"/>
  <c r="J107" i="3"/>
  <c r="S107" i="3" s="1"/>
  <c r="J106" i="3"/>
  <c r="S106" i="3" s="1"/>
  <c r="J105" i="3"/>
  <c r="S105" i="3" s="1"/>
  <c r="J104" i="3"/>
  <c r="S104" i="3" s="1"/>
  <c r="J103" i="3"/>
  <c r="S103" i="3" s="1"/>
  <c r="J102" i="3"/>
  <c r="S102" i="3" s="1"/>
  <c r="J112" i="3"/>
  <c r="S112" i="3" s="1"/>
  <c r="J9" i="3"/>
  <c r="S9" i="3" s="1"/>
  <c r="R116" i="3"/>
  <c r="H50" i="3"/>
  <c r="O50" i="3"/>
  <c r="H30" i="3"/>
  <c r="O30" i="3"/>
  <c r="H33" i="3"/>
  <c r="O33" i="3"/>
  <c r="H54" i="3"/>
  <c r="O54" i="3"/>
  <c r="H47" i="3"/>
  <c r="O47" i="3"/>
  <c r="H66" i="3"/>
  <c r="O66" i="3"/>
  <c r="H90" i="3"/>
  <c r="O90" i="3"/>
  <c r="H83" i="3"/>
  <c r="O83" i="3"/>
  <c r="H78" i="3"/>
  <c r="O78" i="3"/>
  <c r="H5" i="3"/>
  <c r="O5" i="3"/>
  <c r="H75" i="3"/>
  <c r="O75" i="3"/>
  <c r="H76" i="3"/>
  <c r="O76" i="3"/>
  <c r="J23" i="3"/>
  <c r="S23" i="3" s="1"/>
  <c r="L23" i="3"/>
  <c r="J24" i="3"/>
  <c r="S24" i="3" s="1"/>
  <c r="L24" i="3"/>
  <c r="J28" i="3"/>
  <c r="S28" i="3" s="1"/>
  <c r="L28" i="3"/>
  <c r="L29" i="3"/>
  <c r="J29" i="3"/>
  <c r="S29" i="3" s="1"/>
  <c r="J34" i="3"/>
  <c r="S34" i="3" s="1"/>
  <c r="L34" i="3"/>
  <c r="L39" i="3"/>
  <c r="J39" i="3"/>
  <c r="S39" i="3" s="1"/>
  <c r="J40" i="3"/>
  <c r="S40" i="3" s="1"/>
  <c r="L40" i="3"/>
  <c r="J41" i="3"/>
  <c r="S41" i="3" s="1"/>
  <c r="L41" i="3"/>
  <c r="J49" i="3"/>
  <c r="S49" i="3" s="1"/>
  <c r="L49" i="3"/>
  <c r="J51" i="3"/>
  <c r="S51" i="3" s="1"/>
  <c r="L51" i="3"/>
  <c r="J53" i="3"/>
  <c r="S53" i="3" s="1"/>
  <c r="L53" i="3"/>
  <c r="J62" i="3"/>
  <c r="S62" i="3" s="1"/>
  <c r="L62" i="3"/>
  <c r="J65" i="3"/>
  <c r="S65" i="3" s="1"/>
  <c r="L65" i="3"/>
  <c r="J70" i="3"/>
  <c r="S70" i="3" s="1"/>
  <c r="L70" i="3"/>
  <c r="J73" i="3"/>
  <c r="S73" i="3" s="1"/>
  <c r="L73" i="3"/>
  <c r="J77" i="3"/>
  <c r="S77" i="3" s="1"/>
  <c r="L77" i="3"/>
  <c r="J85" i="3"/>
  <c r="S85" i="3" s="1"/>
  <c r="L85" i="3"/>
  <c r="J88" i="3"/>
  <c r="S88" i="3" s="1"/>
  <c r="L88" i="3"/>
  <c r="J89" i="3"/>
  <c r="S89" i="3" s="1"/>
  <c r="L89" i="3"/>
  <c r="J95" i="3"/>
  <c r="S95" i="3" s="1"/>
  <c r="L95" i="3"/>
  <c r="J97" i="3"/>
  <c r="S97" i="3" s="1"/>
  <c r="L97" i="3"/>
  <c r="J98" i="3"/>
  <c r="S98" i="3" s="1"/>
  <c r="L98" i="3"/>
  <c r="J60" i="3"/>
  <c r="S60" i="3" s="1"/>
  <c r="L60" i="3"/>
  <c r="L101" i="3"/>
  <c r="K101" i="3"/>
  <c r="J90" i="3"/>
  <c r="S90" i="3" s="1"/>
  <c r="L90" i="3"/>
  <c r="J76" i="3"/>
  <c r="S76" i="3" s="1"/>
  <c r="L76" i="3"/>
  <c r="L54" i="3"/>
  <c r="L30" i="3"/>
  <c r="L66" i="3"/>
  <c r="L33" i="3"/>
  <c r="L78" i="3"/>
  <c r="L83" i="3"/>
  <c r="L50" i="3"/>
  <c r="L47" i="3"/>
  <c r="K76" i="3" l="1"/>
  <c r="K90" i="3"/>
  <c r="K60" i="3"/>
  <c r="K98" i="3"/>
  <c r="K97" i="3"/>
  <c r="K95" i="3"/>
  <c r="K89" i="3"/>
  <c r="K88" i="3"/>
  <c r="K85" i="3"/>
  <c r="K77" i="3"/>
  <c r="K73" i="3"/>
  <c r="K70" i="3"/>
  <c r="K65" i="3"/>
  <c r="K62" i="3"/>
  <c r="K53" i="3"/>
  <c r="K51" i="3"/>
  <c r="K49" i="3"/>
  <c r="K41" i="3"/>
  <c r="K40" i="3"/>
  <c r="K39" i="3"/>
  <c r="K34" i="3"/>
  <c r="K29" i="3"/>
  <c r="K28" i="3"/>
  <c r="K24" i="3"/>
  <c r="K23" i="3"/>
  <c r="K9" i="3"/>
  <c r="K42" i="3"/>
  <c r="K93" i="3"/>
  <c r="K57" i="3"/>
  <c r="K21" i="3"/>
  <c r="K18" i="3"/>
  <c r="K91" i="3"/>
  <c r="K80" i="3"/>
  <c r="K69" i="3"/>
  <c r="K55" i="3"/>
  <c r="K44" i="3"/>
  <c r="K19" i="3"/>
  <c r="K99" i="3"/>
  <c r="K38" i="3"/>
  <c r="K22" i="3"/>
  <c r="K16" i="3"/>
  <c r="K14" i="3"/>
  <c r="K35" i="3"/>
  <c r="K31" i="3"/>
  <c r="K43" i="3"/>
  <c r="K94" i="3"/>
  <c r="K67" i="3"/>
  <c r="K64" i="3"/>
  <c r="K81" i="3"/>
  <c r="K79" i="3"/>
  <c r="K17" i="3"/>
  <c r="K6" i="3"/>
  <c r="K96" i="3"/>
  <c r="K20" i="3"/>
  <c r="K86" i="3"/>
  <c r="K74" i="3"/>
  <c r="K32" i="3"/>
  <c r="K84" i="3"/>
  <c r="K36" i="3"/>
  <c r="K11" i="3"/>
  <c r="K92" i="3"/>
  <c r="K10" i="3"/>
  <c r="K100" i="3"/>
  <c r="K87" i="3"/>
  <c r="K63" i="3"/>
  <c r="K27" i="3"/>
  <c r="K15" i="3"/>
  <c r="K12" i="3"/>
  <c r="J75" i="3"/>
  <c r="S75" i="3" s="1"/>
  <c r="L75" i="3"/>
  <c r="J5" i="3"/>
  <c r="S5" i="3" s="1"/>
  <c r="L5" i="3"/>
  <c r="J78" i="3"/>
  <c r="S78" i="3" s="1"/>
  <c r="J83" i="3"/>
  <c r="S83" i="3" s="1"/>
  <c r="J66" i="3"/>
  <c r="S66" i="3" s="1"/>
  <c r="J47" i="3"/>
  <c r="S47" i="3" s="1"/>
  <c r="J54" i="3"/>
  <c r="S54" i="3" s="1"/>
  <c r="J33" i="3"/>
  <c r="S33" i="3" s="1"/>
  <c r="J30" i="3"/>
  <c r="S30" i="3" s="1"/>
  <c r="J50" i="3"/>
  <c r="S50" i="3" s="1"/>
  <c r="K50" i="3" l="1"/>
  <c r="K30" i="3"/>
  <c r="K33" i="3"/>
  <c r="K54" i="3"/>
  <c r="K47" i="3"/>
  <c r="K66" i="3"/>
  <c r="K83" i="3"/>
  <c r="K78" i="3"/>
  <c r="K75" i="3"/>
  <c r="K5" i="3"/>
  <c r="J1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Small, Jordan</author>
  </authors>
  <commentList>
    <comment ref="T1" authorId="0" shapeId="0" xr:uid="{92DE04DB-C8F6-46E0-8E9E-75EE4A73243E}">
      <text>
        <r>
          <rPr>
            <sz val="11"/>
            <color theme="1"/>
            <rFont val="Calibri"/>
            <family val="2"/>
            <scheme val="minor"/>
          </rPr>
          <t xml:space="preserve">Small, Jordan:
Demand function 
</t>
        </r>
      </text>
    </comment>
  </commentList>
</comments>
</file>

<file path=xl/sharedStrings.xml><?xml version="1.0" encoding="utf-8"?>
<sst xmlns="http://schemas.openxmlformats.org/spreadsheetml/2006/main" count="4187" uniqueCount="995">
  <si>
    <t>Location</t>
  </si>
  <si>
    <t xml:space="preserve"> Price P0</t>
  </si>
  <si>
    <t xml:space="preserve"> Qty Q0</t>
  </si>
  <si>
    <t>Elasticity (neg)</t>
  </si>
  <si>
    <t xml:space="preserve">inelastic emand </t>
  </si>
  <si>
    <t xml:space="preserve">Elasctic </t>
  </si>
  <si>
    <t>Polin - Shelter</t>
  </si>
  <si>
    <t>e&lt;1</t>
  </si>
  <si>
    <t>e&gt;1</t>
  </si>
  <si>
    <t>A. Ramsey - Shelter</t>
  </si>
  <si>
    <t>Arsenal - Shelter</t>
  </si>
  <si>
    <t>Babe Denny  -Shelter</t>
  </si>
  <si>
    <t>Bel Aire - Shelter #1</t>
  </si>
  <si>
    <t>Bel Aire - Shelter #2/Pavilion</t>
  </si>
  <si>
    <t>Bellamy - Shelter 1</t>
  </si>
  <si>
    <t>Bertha Ross - Shelter #1 (Top of Hill)</t>
  </si>
  <si>
    <t>Bertha Ross - Shelter #2 (Bottom)</t>
  </si>
  <si>
    <t>BR - Lawn Space</t>
  </si>
  <si>
    <t>BR - Picnic Knoll</t>
  </si>
  <si>
    <t>BR - Shelter #1</t>
  </si>
  <si>
    <t>BR - Shelter #2</t>
  </si>
  <si>
    <t>Brookside - Shelter #1 -</t>
  </si>
  <si>
    <t>Brookside - Shelter #2 - DO NOT RENT</t>
  </si>
  <si>
    <t>Brookside - Shelter #3 - DO NOT RENT</t>
  </si>
  <si>
    <t>Brookside - Shelter #5</t>
  </si>
  <si>
    <t>Canterbury - Shelter</t>
  </si>
  <si>
    <t>Carson - Shelter #1</t>
  </si>
  <si>
    <t>Cent. &amp; Groff - Shelter</t>
  </si>
  <si>
    <t>Christian - Picnic Knoll</t>
  </si>
  <si>
    <t>Christian - Shelter East (#2)</t>
  </si>
  <si>
    <t>Christian - Shelter West(#1) DO NOT RENT</t>
  </si>
  <si>
    <t>Chuck Klein - Shelter #1</t>
  </si>
  <si>
    <t>Clayton &amp; LaSalle - Shelter</t>
  </si>
  <si>
    <t>Dan Wakefield Park - Shelter</t>
  </si>
  <si>
    <t>Dr. MLK - Shelter- Large Pavilion</t>
  </si>
  <si>
    <t>Dubarry - Shelter 1</t>
  </si>
  <si>
    <t>EC - Beach Shelter</t>
  </si>
  <si>
    <t>EC - Dandy Trail Shelter</t>
  </si>
  <si>
    <t>EC - Lilly Lake Shelter</t>
  </si>
  <si>
    <t>EC - Mt. Pleasant Middle Shelter</t>
  </si>
  <si>
    <t>EC - Mt. Pleasant North Shelter</t>
  </si>
  <si>
    <t>EC - Mt. Pleasant South Shelter</t>
  </si>
  <si>
    <t>EC - Shelter  EDC</t>
  </si>
  <si>
    <t>EC - Shelter A</t>
  </si>
  <si>
    <t>EC - Shelter B</t>
  </si>
  <si>
    <t>EC - Shelter C</t>
  </si>
  <si>
    <t>EC - Shelter D</t>
  </si>
  <si>
    <t>EC - Shelter E</t>
  </si>
  <si>
    <t>EC - Shelter G</t>
  </si>
  <si>
    <t>EC - Shelter H</t>
  </si>
  <si>
    <t>Edna Balz Lacy - Octagon/Gazebo Shelter</t>
  </si>
  <si>
    <t>Ellenberger - Shelter 1</t>
  </si>
  <si>
    <t>Martin - Shelter #1</t>
  </si>
  <si>
    <t>Martin - Shelter #2</t>
  </si>
  <si>
    <t>Shelter #1</t>
  </si>
  <si>
    <t>FDP - Shelter #1</t>
  </si>
  <si>
    <t>FDP - Shelter #2 - Pool</t>
  </si>
  <si>
    <t>Garfield - Shelter - Corporate</t>
  </si>
  <si>
    <t>Garfield - Shelter - Ellis</t>
  </si>
  <si>
    <t>Garfield - Shelter - Pagoda</t>
  </si>
  <si>
    <t>Garfield - Shelter - Playground</t>
  </si>
  <si>
    <t>Garfield - Shelter - Pool</t>
  </si>
  <si>
    <t>Garfield - Shelter - South Grove</t>
  </si>
  <si>
    <t>Grassy Creek - Shelter 5</t>
  </si>
  <si>
    <t>Gustafson - Shelter</t>
  </si>
  <si>
    <t>Haughville - Shelter #1</t>
  </si>
  <si>
    <t>Haughville - Shelter #2</t>
  </si>
  <si>
    <t>Hendricks - Shelter</t>
  </si>
  <si>
    <t>Highland - Shelter</t>
  </si>
  <si>
    <t>JTV Hill - Shelter #1</t>
  </si>
  <si>
    <t>Juan Solomon - Shelter</t>
  </si>
  <si>
    <t>Krannert - Shelter -Large (#1)</t>
  </si>
  <si>
    <t>Krannert - Shelter -Small (#2)</t>
  </si>
  <si>
    <t>Marott - Shelter</t>
  </si>
  <si>
    <t>Municipal Gardens - Overlook Shelter #2</t>
  </si>
  <si>
    <t>Municipal Gardens - Shelter #1</t>
  </si>
  <si>
    <t>Northwestway - Shelter 1</t>
  </si>
  <si>
    <t>Northwestway - Shelter 2</t>
  </si>
  <si>
    <t>Northwestway - Shelter 3</t>
  </si>
  <si>
    <t>Charleston - Shelter #1</t>
  </si>
  <si>
    <t>Charleston - Shelter #3</t>
  </si>
  <si>
    <t>Paul Ruster - Shelter 2</t>
  </si>
  <si>
    <t>Perry - Shelter N</t>
  </si>
  <si>
    <t>Perry - Shelter W</t>
  </si>
  <si>
    <t>Ray Park- Shelter</t>
  </si>
  <si>
    <t>Rhodius - Shelter #1 - Playground</t>
  </si>
  <si>
    <t>Rhodius - Shelter 2 - Little League</t>
  </si>
  <si>
    <t>Riverside - Shelter #1 *Do Not Rent*</t>
  </si>
  <si>
    <t>Riverside - Shelter #2 *Do Not Rent*</t>
  </si>
  <si>
    <t>Riverside - Shelter #3</t>
  </si>
  <si>
    <t>Riverside - Shelter #5</t>
  </si>
  <si>
    <t>Riverside - Shelter #6</t>
  </si>
  <si>
    <t>Riverwood - Shelter</t>
  </si>
  <si>
    <t>Sahm - Corporate Pavilion</t>
  </si>
  <si>
    <t>Sahm - Shelter #1</t>
  </si>
  <si>
    <t>Sahm - Shelter #2</t>
  </si>
  <si>
    <t>Sahm - Shelter #3</t>
  </si>
  <si>
    <t>Sandorf - Shelter</t>
  </si>
  <si>
    <t>SEW - Hay Picnic Knoll A</t>
  </si>
  <si>
    <t>SEW - Picnic Knoll A (do not rent)</t>
  </si>
  <si>
    <t>SEW - Shelter #1</t>
  </si>
  <si>
    <t>SEW - Shelter #2</t>
  </si>
  <si>
    <t>SEW - Shelter #3</t>
  </si>
  <si>
    <t>SEW - Shelter #4</t>
  </si>
  <si>
    <t>SEW - Shelter #5</t>
  </si>
  <si>
    <t>SEW - Shelter #6</t>
  </si>
  <si>
    <t>Southwestway - Shelter #1</t>
  </si>
  <si>
    <t>Spades - Pagoda</t>
  </si>
  <si>
    <t>Stanley Strader (Bethel) - Shelter #1</t>
  </si>
  <si>
    <t>Stout - Shelter</t>
  </si>
  <si>
    <t>Thatcher - Shelter #1</t>
  </si>
  <si>
    <t>Thatcher - Shelter #2</t>
  </si>
  <si>
    <t>Thompson - Shelter</t>
  </si>
  <si>
    <t>Washington Park - Shelter #1</t>
  </si>
  <si>
    <t>Washington Park - Shelter #2</t>
  </si>
  <si>
    <t>Watkins - Shelter #1</t>
  </si>
  <si>
    <t>Wes Montgomery - Shelter 1</t>
  </si>
  <si>
    <t>Wes Montgomery - Shelter 2</t>
  </si>
  <si>
    <t>Wildwood - Shelter 1</t>
  </si>
  <si>
    <t>Windsor- Shelter</t>
  </si>
  <si>
    <t>WISH - Shelter</t>
  </si>
  <si>
    <t>Baseline Price P0</t>
  </si>
  <si>
    <t>Baseline Qty Q0</t>
  </si>
  <si>
    <t>b (slope) = -E*Q0/P0</t>
  </si>
  <si>
    <t>a (intercept) = Q0 + b*P0</t>
  </si>
  <si>
    <t>Proposed Price P1 (type)</t>
  </si>
  <si>
    <t xml:space="preserve">Projected Qty Q1 </t>
  </si>
  <si>
    <t>old Revenue</t>
  </si>
  <si>
    <t>Proposed Revenue</t>
  </si>
  <si>
    <t>ΔRevenue % = Rev1/Rev0 - 1</t>
  </si>
  <si>
    <t>Elasticity at P1 = -b*P1/Q1</t>
  </si>
  <si>
    <t xml:space="preserve">Elasticity </t>
  </si>
  <si>
    <t>Max demand when price=0</t>
  </si>
  <si>
    <t>projected quanity at max p</t>
  </si>
  <si>
    <t>profit max price</t>
  </si>
  <si>
    <t>proposed  max profit</t>
  </si>
  <si>
    <t>marignal rev</t>
  </si>
  <si>
    <t>Demand function=</t>
  </si>
  <si>
    <t>a+</t>
  </si>
  <si>
    <t>b</t>
  </si>
  <si>
    <t>p0</t>
  </si>
  <si>
    <t>Qd = a - bP</t>
  </si>
  <si>
    <t>Propsoed sum=</t>
  </si>
  <si>
    <t>Proposed Max=</t>
  </si>
  <si>
    <t>old sum</t>
  </si>
  <si>
    <t>P0</t>
  </si>
  <si>
    <t>Q0</t>
  </si>
  <si>
    <t>E</t>
  </si>
  <si>
    <t>R1</t>
  </si>
  <si>
    <t>b = -E*Q0/P0</t>
  </si>
  <si>
    <t>a = Q0 + b*P0</t>
  </si>
  <si>
    <t xml:space="preserve">function </t>
  </si>
  <si>
    <t>Step</t>
  </si>
  <si>
    <t>Price P</t>
  </si>
  <si>
    <t>Q</t>
  </si>
  <si>
    <t>Revenue</t>
  </si>
  <si>
    <t>q=a+bp</t>
  </si>
  <si>
    <t>q= quantity</t>
  </si>
  <si>
    <t>p= price</t>
  </si>
  <si>
    <t>a= max q</t>
  </si>
  <si>
    <t>b= slope</t>
  </si>
  <si>
    <t>p- a/b- q/b</t>
  </si>
  <si>
    <t>Rental of Facility Rooms (per hour, unless designated</t>
  </si>
  <si>
    <t>2025 Current Fee</t>
  </si>
  <si>
    <t>Proposed 2026 Fee</t>
  </si>
  <si>
    <t>Cost of Operations/Staff</t>
  </si>
  <si>
    <t>Total Cost</t>
  </si>
  <si>
    <t>Old porfit ratio</t>
  </si>
  <si>
    <t xml:space="preserve">Nprofit ratio </t>
  </si>
  <si>
    <t>old cost ratio</t>
  </si>
  <si>
    <t>Ncost ratio</t>
  </si>
  <si>
    <t xml:space="preserve">Notes </t>
  </si>
  <si>
    <t>Bel Aire (3 hr min)</t>
  </si>
  <si>
    <t xml:space="preserve">2026 prices were 2025 current price plus $20 </t>
  </si>
  <si>
    <t>Community Rm-Weekday/before 6pm M-Th</t>
  </si>
  <si>
    <t>$16.20/hr FA/ No Utility Data</t>
  </si>
  <si>
    <t xml:space="preserve"> The profit ratio represents how much of each dollar of revenue is retained as profit after covering operating costs. so for the fist examle with this new fee increase 73% sould be profits if everything stays constant </t>
  </si>
  <si>
    <t>Community Rm-after 6 pm Friday/Sat/Sun</t>
  </si>
  <si>
    <t>Community Rm-after 6 pm M-Th</t>
  </si>
  <si>
    <t xml:space="preserve">The cost ratio tells you how many dollars you earn per dollar of cost. for example 3.7 means that for every $1 spent on cost with the new fee earn $3.70 in revenue. </t>
  </si>
  <si>
    <t>Bethel /Stanley Strader</t>
  </si>
  <si>
    <t>Gym</t>
  </si>
  <si>
    <t>$6.39/Utilities and $16.20/hr Staff FA</t>
  </si>
  <si>
    <t>Community Room</t>
  </si>
  <si>
    <t>$2.74/Utilities and $16.20.hr Staff FA</t>
  </si>
  <si>
    <t>Community Room - half</t>
  </si>
  <si>
    <t>$1.37/Utilities and $16.20 hr Staff FA</t>
  </si>
  <si>
    <t>Kitchen</t>
  </si>
  <si>
    <t xml:space="preserve">Broad Ripple </t>
  </si>
  <si>
    <t>$16.20 hr staff/No Utility Data FA</t>
  </si>
  <si>
    <t>Multi purpose Room</t>
  </si>
  <si>
    <t>$1.41/Utilities and $16.20/hr Staff FA</t>
  </si>
  <si>
    <t>Half Multi purpose Room</t>
  </si>
  <si>
    <t>No Utility Data</t>
  </si>
  <si>
    <t>Group Exercise Room</t>
  </si>
  <si>
    <t>Birthday Party Room</t>
  </si>
  <si>
    <t>Conference Room</t>
  </si>
  <si>
    <t>Brookside</t>
  </si>
  <si>
    <t>$2.09/Utilities and $16.20/hr Staff FA</t>
  </si>
  <si>
    <t>Auditorium Mon-Thurs (2 hr min) includes Kitchen</t>
  </si>
  <si>
    <t>$7.85/Utilities and $16.20.hr Staff FA</t>
  </si>
  <si>
    <t>Auditorium Fri, Sat, Sun (2 hr min) includes kitchen</t>
  </si>
  <si>
    <t>$7.85/Utilities and $16.20/hr Staff FA</t>
  </si>
  <si>
    <t>Auditorium Small Group of 30 or less (2 hr min) includes kitchen</t>
  </si>
  <si>
    <t>Arts and Crafts Room - Balcony</t>
  </si>
  <si>
    <t>Office Space Balcony</t>
  </si>
  <si>
    <t>$20/day</t>
  </si>
  <si>
    <t>$40/day</t>
  </si>
  <si>
    <t>Conference Room -Balcony</t>
  </si>
  <si>
    <t>$0.52/Utilites and $16.20/hr Staff FA</t>
  </si>
  <si>
    <t>Meeting Room - Basement</t>
  </si>
  <si>
    <t>Christian</t>
  </si>
  <si>
    <t>Gym -large</t>
  </si>
  <si>
    <t>$3.40/Utilities and $16.20/hr Staff FA</t>
  </si>
  <si>
    <t>Gym-1/2 court</t>
  </si>
  <si>
    <t>Multi-purpose room</t>
  </si>
  <si>
    <t>$2.27/Utilities and $16.20/hr Staff FA</t>
  </si>
  <si>
    <t>Conference room</t>
  </si>
  <si>
    <t>$1.70/Utilities and $16.20/hr Staff FA</t>
  </si>
  <si>
    <t>Activity Room (old fitness room, small multipurpose room)</t>
  </si>
  <si>
    <t>Learning Lab</t>
  </si>
  <si>
    <t>$1.13/Utilites and $16.20/hr Staff FA</t>
  </si>
  <si>
    <t>Game Room</t>
  </si>
  <si>
    <t xml:space="preserve">Douglass </t>
  </si>
  <si>
    <t>$3.24/Utlitlies and $16.20/hr Staff FA</t>
  </si>
  <si>
    <t>Large Multi purpose Room - full</t>
  </si>
  <si>
    <t>Half Multi purpose room - stage side or w kitchen</t>
  </si>
  <si>
    <t>kitchen</t>
  </si>
  <si>
    <t>E Gaming room</t>
  </si>
  <si>
    <t>$1.18/Utilities and $16.20/ hr Staff FA</t>
  </si>
  <si>
    <t>Studio</t>
  </si>
  <si>
    <t>Program Room</t>
  </si>
  <si>
    <t>Dance Room</t>
  </si>
  <si>
    <t>Art Room</t>
  </si>
  <si>
    <t>Upstairs Multipurpose Program</t>
  </si>
  <si>
    <t>Medium Multipurpose</t>
  </si>
  <si>
    <t>Optional Room (carpet)</t>
  </si>
  <si>
    <t>Eagle Creek</t>
  </si>
  <si>
    <t>Admn Office-Conference Room</t>
  </si>
  <si>
    <t>$50/day</t>
  </si>
  <si>
    <t>$70/day</t>
  </si>
  <si>
    <t>Eagle Creek - Crest</t>
  </si>
  <si>
    <t>weekday -before 6 pm M-F</t>
  </si>
  <si>
    <t>after 6 pm M-Th</t>
  </si>
  <si>
    <t>Eagle Creek - Earth Discovery Center</t>
  </si>
  <si>
    <t>Exhibit Hall</t>
  </si>
  <si>
    <t>Dry Lab</t>
  </si>
  <si>
    <t>Resource Room</t>
  </si>
  <si>
    <t>Deck</t>
  </si>
  <si>
    <t>Wet Lab</t>
  </si>
  <si>
    <t>Eagle Creek - Hideaway</t>
  </si>
  <si>
    <t>weekday/before 6 pm M-Th</t>
  </si>
  <si>
    <t>after 6 pm Friday/Sat/Sun</t>
  </si>
  <si>
    <t>Bride's Room</t>
  </si>
  <si>
    <t>Grooms Room</t>
  </si>
  <si>
    <t>Eagle Creek - Crest-Hideaway-EELS Locations</t>
  </si>
  <si>
    <t>Set up fee for tables and chairs</t>
  </si>
  <si>
    <t>Tear down fee for tables and chairs.</t>
  </si>
  <si>
    <t>Eagle Creek - Marina - 3 hr Min</t>
  </si>
  <si>
    <t>Marina-weekday/before 6 pm M-Th</t>
  </si>
  <si>
    <t>Marina-after 6 pm Friday/Sat/Sun</t>
  </si>
  <si>
    <t>Marina-after 6 pm M-Th</t>
  </si>
  <si>
    <t>EC Marina</t>
  </si>
  <si>
    <t>Marina Stage</t>
  </si>
  <si>
    <t>Eagle Creek - Ornithology Center</t>
  </si>
  <si>
    <t>Garfield Park Arts Center</t>
  </si>
  <si>
    <t>Main Gallery-Wedding/Special events 6 hr min after 2 p.m. fri, Sat, Sun</t>
  </si>
  <si>
    <t>$4.76/Utilities and $18.02/hr staff AC</t>
  </si>
  <si>
    <t>Main Gallery-private access, meetings, weekends</t>
  </si>
  <si>
    <t>Main Gallery with Semi-Private access, 9am-4pm weekdays and classes on weekends</t>
  </si>
  <si>
    <t>Patio</t>
  </si>
  <si>
    <t>Performance Arts Studio</t>
  </si>
  <si>
    <t>$1.96/Utilities and $18.02/hr staff AC</t>
  </si>
  <si>
    <t>Mens Dressing Room, Women's dressing room</t>
  </si>
  <si>
    <t>$0.22/Utilities and $18.02/hr staff AC</t>
  </si>
  <si>
    <t>Visual Arts Studio #1, #3, #4</t>
  </si>
  <si>
    <t>$0.87/Utilities and $18.02/hr staff AC</t>
  </si>
  <si>
    <t>Visual Arts Studio #2</t>
  </si>
  <si>
    <t>Red, Yellow, Green, Practice Rooms</t>
  </si>
  <si>
    <t>Red, Yellow, Green Monthly Studio</t>
  </si>
  <si>
    <t>Blue Monthly Studio</t>
  </si>
  <si>
    <t>$0.43/Utilities and $18.02/hr staff AC</t>
  </si>
  <si>
    <t>Literary Arts (room #111)</t>
  </si>
  <si>
    <t>Large Lower level classroom</t>
  </si>
  <si>
    <t>Group rental of building restrooms 100+ people (during operating hours)</t>
  </si>
  <si>
    <t>$100/Day</t>
  </si>
  <si>
    <t>$120/Day</t>
  </si>
  <si>
    <t>New Main Gallery Exhibit</t>
  </si>
  <si>
    <t>$3000/Month</t>
  </si>
  <si>
    <t>$3020/Month</t>
  </si>
  <si>
    <t>Lower Level Gallery Exhibit</t>
  </si>
  <si>
    <t>$1500/Month</t>
  </si>
  <si>
    <t>$1520/Month</t>
  </si>
  <si>
    <t>Garfield -Burrello Family Center</t>
  </si>
  <si>
    <t>$1.22/Utilities and $16.20/hr staff FA</t>
  </si>
  <si>
    <t>Small dining area</t>
  </si>
  <si>
    <t>$0.41/Utilites and $16.20/hr staff FA</t>
  </si>
  <si>
    <t>Gym (half court)</t>
  </si>
  <si>
    <t>$8.13/Utilities and $16.20/hr staff FA</t>
  </si>
  <si>
    <t>Gym (full court)</t>
  </si>
  <si>
    <t>Fitness room</t>
  </si>
  <si>
    <t>Garfield Conservatory</t>
  </si>
  <si>
    <t>Waterfall Wedding</t>
  </si>
  <si>
    <t>Private After Hours Conservatory Rental 6 hr min</t>
  </si>
  <si>
    <t>Children's Garden picnic</t>
  </si>
  <si>
    <t>Patio and Garden rental (must book Conservatory) 6 hr min</t>
  </si>
  <si>
    <t>Sunken Garden (southside garden) 2 hr min</t>
  </si>
  <si>
    <t>Sunken Garden (southside garden) if fountains are broke 2 hr min</t>
  </si>
  <si>
    <t>Sunken Garden (southside garden) no chairs provided</t>
  </si>
  <si>
    <t>Glenns Valley (3 hr min)</t>
  </si>
  <si>
    <t>Glenns Valley Conference -Weekend</t>
  </si>
  <si>
    <t>Glenns Valley Conference -weekdays</t>
  </si>
  <si>
    <t>Holliday Park</t>
  </si>
  <si>
    <t>Auditorium</t>
  </si>
  <si>
    <t>Classroom 1</t>
  </si>
  <si>
    <t>Classroom 2</t>
  </si>
  <si>
    <t>Classroom 1 &amp; 2 Joined</t>
  </si>
  <si>
    <t>Library</t>
  </si>
  <si>
    <t>Lobby</t>
  </si>
  <si>
    <t>Exhibit Room</t>
  </si>
  <si>
    <t>JTV Hill</t>
  </si>
  <si>
    <t>Multi-Purpose</t>
  </si>
  <si>
    <t>Indianapolis World Sports Park (3 hr min)</t>
  </si>
  <si>
    <t>Ball Room &amp; Dining Room weekends (Friday after 5pm, Saturday, Sunday)</t>
  </si>
  <si>
    <t>$3.38/Utilities/$18.02 hr RC</t>
  </si>
  <si>
    <t>Ball Room &amp; Dining Room weekdays (Monday thru Friday unti 5pm)</t>
  </si>
  <si>
    <t>Fireplace Room (weekends)</t>
  </si>
  <si>
    <t>$0.71/Utilities/$18.02 hr RC</t>
  </si>
  <si>
    <t>Fireplace Room (weekdays)</t>
  </si>
  <si>
    <t>Community Room (Weekends)</t>
  </si>
  <si>
    <t>$0.36/Utilties/$18.02 hr RC</t>
  </si>
  <si>
    <t>Community Room (weekdays)</t>
  </si>
  <si>
    <t>Sound System</t>
  </si>
  <si>
    <t>$100/Use</t>
  </si>
  <si>
    <t>$120/Use</t>
  </si>
  <si>
    <t>AV/LCD Projector</t>
  </si>
  <si>
    <t>Vendor Fee (only applies to Ballroom and Dining Room)</t>
  </si>
  <si>
    <t>Juan Soloman (3 hr min)</t>
  </si>
  <si>
    <t>Community Rm-weekday/before 6 pm M-Th</t>
  </si>
  <si>
    <t>Krannert</t>
  </si>
  <si>
    <t>$3.23/Utilities/$16.20 hr FA</t>
  </si>
  <si>
    <t>Cottingham Room (large meeting room)</t>
  </si>
  <si>
    <t>$4.04/Utilities/$16.20 hr FA</t>
  </si>
  <si>
    <t>Multipurpose Room</t>
  </si>
  <si>
    <t>Meeting room-small</t>
  </si>
  <si>
    <t>$2.16/Utilities/$16.20 hr FA</t>
  </si>
  <si>
    <t>Conference</t>
  </si>
  <si>
    <t>$0.27/Utilities/$16.20 hr FA</t>
  </si>
  <si>
    <t>Outdoor Turf Area</t>
  </si>
  <si>
    <t>Martin Luther King Jr.</t>
  </si>
  <si>
    <t>Meeting room</t>
  </si>
  <si>
    <t>Municipal Gardens</t>
  </si>
  <si>
    <t>Ball Room</t>
  </si>
  <si>
    <t>$3.19/Utilities/$16.20 hr FA</t>
  </si>
  <si>
    <t>$5.75/Utilities/$16.20 hr FA</t>
  </si>
  <si>
    <t>Multi-purpose room(Family Fun room) with kitchen</t>
  </si>
  <si>
    <t>$1.92/Utilities/$16.20 hr FA</t>
  </si>
  <si>
    <t>Perry Conference Room</t>
  </si>
  <si>
    <t>$1.01/Utilities/$15 hr FA</t>
  </si>
  <si>
    <t>Pride Center</t>
  </si>
  <si>
    <t>Gameroom (3 hr min)</t>
  </si>
  <si>
    <t>Raymond Park/Indy Island</t>
  </si>
  <si>
    <t>Indy Island Community Room (2 hr.min.)</t>
  </si>
  <si>
    <t>$6.61/Utilities/$16.20 hr FA</t>
  </si>
  <si>
    <t>Rhodius</t>
  </si>
  <si>
    <t>$1.28/Utilities/$16.20 hr FA</t>
  </si>
  <si>
    <t>$0.64/Utilities/$16.20 hr FA</t>
  </si>
  <si>
    <t>Media center</t>
  </si>
  <si>
    <t>Dance Studio</t>
  </si>
  <si>
    <t>$0.32/Utilities/$16.20 hr FA</t>
  </si>
  <si>
    <t>Stage</t>
  </si>
  <si>
    <t>Sensory</t>
  </si>
  <si>
    <t>Riverside</t>
  </si>
  <si>
    <t>$9.29/Utilities/$16.20 hr FA</t>
  </si>
  <si>
    <t>$5.57/Utilities/$16.20 hr FA</t>
  </si>
  <si>
    <t>Lillian Davis Conference</t>
  </si>
  <si>
    <t>$1.86/Utilities/$16.20 hr FA</t>
  </si>
  <si>
    <t>Education center-Loft 2nd floor</t>
  </si>
  <si>
    <t>Classroom -Main floor-karate and Colts room</t>
  </si>
  <si>
    <t>$0.93/Utilities/$16.20 hr FA</t>
  </si>
  <si>
    <t>Southeastway</t>
  </si>
  <si>
    <t>Community Room (4 hr min)</t>
  </si>
  <si>
    <t>$18.08 hr Naturlist/No Utility Data</t>
  </si>
  <si>
    <t>Thatcher</t>
  </si>
  <si>
    <t>$9.70 Utilities/$16.20 hr FA</t>
  </si>
  <si>
    <t>$4.16 Utilities/$16.20 hr FA</t>
  </si>
  <si>
    <t>Community Room #1, #2</t>
  </si>
  <si>
    <t>$2.77 Utilities/$16.20 hr FA</t>
  </si>
  <si>
    <t>Activity Room</t>
  </si>
  <si>
    <t>Washington</t>
  </si>
  <si>
    <t>Round Multi Purpose Room</t>
  </si>
  <si>
    <t>$3.00/Utilities/$16.20 hr FA</t>
  </si>
  <si>
    <t>Aerobic Room</t>
  </si>
  <si>
    <t>$0.75/Utilities/$16.20 hr FA</t>
  </si>
  <si>
    <t>$5.99/Utilities/$16.20 hr FA</t>
  </si>
  <si>
    <t>Multi-purpose room A &amp; B &amp; kitchen</t>
  </si>
  <si>
    <t>Multi-purpose A (West room &amp; kitchen)</t>
  </si>
  <si>
    <t>Multi-purpose B</t>
  </si>
  <si>
    <t>Office (per day)</t>
  </si>
  <si>
    <t>Watkins</t>
  </si>
  <si>
    <t>$3.78 Utilities/$16.20 hr FA</t>
  </si>
  <si>
    <t>Gym and Community Room</t>
  </si>
  <si>
    <t>$4.65 Utilities/$16.20 hr FA</t>
  </si>
  <si>
    <t>$0.58 Utilities/$16.20 hr FA</t>
  </si>
  <si>
    <t>$0.87 Utilities/$16.20 hr FA</t>
  </si>
  <si>
    <t>Community Room &amp; Kitchen</t>
  </si>
  <si>
    <t>$1.45 Utilities/$16.20 hr FA</t>
  </si>
  <si>
    <t>Windsor</t>
  </si>
  <si>
    <t>Community Room with kitchen</t>
  </si>
  <si>
    <t>Game Room / Lobby (2 hr min for parties</t>
  </si>
  <si>
    <t xml:space="preserve">$16.20 hrstaff/ $16.36 Utilities </t>
  </si>
  <si>
    <t>SUMMARY OUTPUT</t>
  </si>
  <si>
    <t>Regression Statistics</t>
  </si>
  <si>
    <t>Multiple R</t>
  </si>
  <si>
    <t>R Square</t>
  </si>
  <si>
    <t>Adjusted R Square</t>
  </si>
  <si>
    <t>Standard Error</t>
  </si>
  <si>
    <t xml:space="preserve">we can conlcude that based off all the services </t>
  </si>
  <si>
    <t>Observations</t>
  </si>
  <si>
    <t>indy parks has a pretty inelastic demand</t>
  </si>
  <si>
    <t>so the desicon of rasing fees is completly justified</t>
  </si>
  <si>
    <t>ANOVA</t>
  </si>
  <si>
    <t> 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</si>
  <si>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</si>
  <si>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</si>
  <si>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</si>
  <si>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</si>
  <si>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</si>
  <si>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</si>
  <si>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</si>
  <si>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</si>
  <si>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</si>
  <si>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</si>
  <si>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</si>
  <si>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</si>
  <si>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</si>
  <si>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</si>
  <si>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</si>
  <si>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</si>
  <si>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ln_Price</t>
  </si>
  <si>
    <t xml:space="preserve">This regression is based off a set of dummy variables where </t>
  </si>
  <si>
    <t>log linear of quantity sold is y and aquatic centers is x</t>
  </si>
  <si>
    <t>shows that on average acuatics generate</t>
  </si>
  <si>
    <t xml:space="preserve">exp(1.6)= 5 </t>
  </si>
  <si>
    <t xml:space="preserve">times </t>
  </si>
  <si>
    <t>more participation compared to other services</t>
  </si>
  <si>
    <t>(Recomend reconsidering price increase in aquaitc centers)</t>
  </si>
  <si>
    <t xml:space="preserve">Because they have a huge inpact on overall revenue </t>
  </si>
  <si>
    <t xml:space="preserve">           </t>
  </si>
  <si>
    <t xml:space="preserve">             </t>
  </si>
  <si>
    <t xml:space="preserve">                                           </t>
  </si>
  <si>
    <t xml:space="preserve">                  </t>
  </si>
  <si>
    <t xml:space="preserve">                                             </t>
  </si>
  <si>
    <t xml:space="preserve">                             </t>
  </si>
  <si>
    <t>Fac_Aquatics</t>
  </si>
  <si>
    <t xml:space="preserve">                                                                                                        </t>
  </si>
  <si>
    <t>We can conclude open gyms have lower participation</t>
  </si>
  <si>
    <t>compared to other forms of services</t>
  </si>
  <si>
    <t>Price Decerease?</t>
  </si>
  <si>
    <t>Fac_Mooring</t>
  </si>
  <si>
    <t>Fac_Open Gym</t>
  </si>
  <si>
    <t>Fac_Playground</t>
  </si>
  <si>
    <t>Fac_Pool Entry</t>
  </si>
  <si>
    <t>Fac_Program</t>
  </si>
  <si>
    <t>Fac_Rental</t>
  </si>
  <si>
    <t>Type</t>
  </si>
  <si>
    <t>Product</t>
  </si>
  <si>
    <t>Price</t>
  </si>
  <si>
    <t>Quantity</t>
  </si>
  <si>
    <t>Category</t>
  </si>
  <si>
    <t>Facility</t>
  </si>
  <si>
    <t>ln_Quantity</t>
  </si>
  <si>
    <t>Type_POS</t>
  </si>
  <si>
    <t>Type_Pass</t>
  </si>
  <si>
    <t>Cat_Camp</t>
  </si>
  <si>
    <t>Cat_Merchandise</t>
  </si>
  <si>
    <t>Cat_Pass</t>
  </si>
  <si>
    <t>Fac_Arts center</t>
  </si>
  <si>
    <t>Fac_Broad Ripple</t>
  </si>
  <si>
    <t>Fac_Broad Ripple Camps 2023</t>
  </si>
  <si>
    <t>Fac_Brookside</t>
  </si>
  <si>
    <t>Fac_Brookside Park Camps 2023</t>
  </si>
  <si>
    <t>Fac_Christian</t>
  </si>
  <si>
    <t>Fac_City Wide</t>
  </si>
  <si>
    <t>Fac_Concessions</t>
  </si>
  <si>
    <t>Fac_Conservatory</t>
  </si>
  <si>
    <t>Fac_Dog Park</t>
  </si>
  <si>
    <t>Fac_Eagle Creek</t>
  </si>
  <si>
    <t>Fac_Ellenberger Park</t>
  </si>
  <si>
    <t>Fac_Ellenberger Park Camps 2023</t>
  </si>
  <si>
    <t>Fac_Fee - Youth Open Gym</t>
  </si>
  <si>
    <t>Fac_Frederick Douglass</t>
  </si>
  <si>
    <t>Fac_Frederick Douglass Camps 2023</t>
  </si>
  <si>
    <t>Fac_Garfield BFC</t>
  </si>
  <si>
    <t>Fac_Garfield BFC Camps 2023</t>
  </si>
  <si>
    <t>Fac_Hockey Equipment</t>
  </si>
  <si>
    <t>Fac_Krannert</t>
  </si>
  <si>
    <t>Fac_Krannert at Bel Aire Camp 2023</t>
  </si>
  <si>
    <t>Fac_Mini Mart</t>
  </si>
  <si>
    <t>Fac_Rhodius</t>
  </si>
  <si>
    <t>Fac_Riverside</t>
  </si>
  <si>
    <t>Fac_Riverside Camps 2023</t>
  </si>
  <si>
    <t>Fac_Riverside Park</t>
  </si>
  <si>
    <t>Fac_Sensory</t>
  </si>
  <si>
    <t>Fac_Weight Room</t>
  </si>
  <si>
    <t>Fac_Windsor</t>
  </si>
  <si>
    <t>Fac_Windsor Camps 2023</t>
  </si>
  <si>
    <t>Fac_Windsor Village</t>
  </si>
  <si>
    <t>Camp</t>
  </si>
  <si>
    <t>Day Camp 2023 | 6-7 year old | Broad Ripple Camps 2023</t>
  </si>
  <si>
    <t>Broad Ripple Camps 2023</t>
  </si>
  <si>
    <t>Day Camp 2023 | 6-8 yr old | Garfield BFC Camps 2023</t>
  </si>
  <si>
    <t>Garfield BFC Camps 2023</t>
  </si>
  <si>
    <t>Day Camp 2023 | 6-8 yr old | Krannert at Bel Aire Camp 2023</t>
  </si>
  <si>
    <t>Krannert at Bel Aire Camp 2023</t>
  </si>
  <si>
    <t>Day Camp 2023 | 8 -10 year old | Broad Ripple</t>
  </si>
  <si>
    <t>Broad Ripple</t>
  </si>
  <si>
    <t>Day Camp 2023 | 9-12 yr old | Garfield BFC Camps 2023</t>
  </si>
  <si>
    <t>Day Camp 2023 | 9-13 yr old | Krannert at Bel Aire Camp 2023</t>
  </si>
  <si>
    <t>Day Camp 2023 | Brookside Park Camps 2023</t>
  </si>
  <si>
    <t>Brookside Park Camps 2023</t>
  </si>
  <si>
    <t>Day Camp 2023 | Camp Gather | Rhodius</t>
  </si>
  <si>
    <t>Day Camp 2023 | Camp Gather on the Move | Rhodius</t>
  </si>
  <si>
    <t>Day Camp 2023 | Ellenberger Park Camps 2023</t>
  </si>
  <si>
    <t>Ellenberger Park Camps 2023</t>
  </si>
  <si>
    <t>Day Camp 2023 | Frederick Douglass Camps 2023</t>
  </si>
  <si>
    <t>Frederick Douglass Camps 2023</t>
  </si>
  <si>
    <t>Day Camp 2023 | Riverside Camps 2023</t>
  </si>
  <si>
    <t>Riverside Camps 2023</t>
  </si>
  <si>
    <t>Day Camp 2023 | Windsor Camps 2023</t>
  </si>
  <si>
    <t>Windsor Camps 2023</t>
  </si>
  <si>
    <t>Day Camp 2023| 11-13 year old | Broad Ripple</t>
  </si>
  <si>
    <t>Day Camp 2024 | 11-13 yr old | Broad Ripple</t>
  </si>
  <si>
    <t>Day Camp 2024 | 11-13 yr old | Krannert</t>
  </si>
  <si>
    <t>Day Camp 2024 | 6-7 yr old | Broad Ripple</t>
  </si>
  <si>
    <t>Day Camp 2024 | 6-7 yr old | Krannert</t>
  </si>
  <si>
    <t>Day Camp 2024 | 6-8 | Garfield BFC</t>
  </si>
  <si>
    <t>Garfield BFC</t>
  </si>
  <si>
    <t>Day Camp 2024 | 6-9 yr. old | Frederick Douglass</t>
  </si>
  <si>
    <t>Frederick Douglass</t>
  </si>
  <si>
    <t>Day Camp 2024 | 8-10 yr old | Broad Ripple</t>
  </si>
  <si>
    <t>Day Camp 2024 | 8-10 yr old | Krannert</t>
  </si>
  <si>
    <t>Day Camp 2024 | 9-11 | Garfield BFC</t>
  </si>
  <si>
    <t>Day Camp 2024 | Brookside</t>
  </si>
  <si>
    <t>Day Camp 2024 | Christian</t>
  </si>
  <si>
    <t>Day Camp 2024 | Ellenberger Park</t>
  </si>
  <si>
    <t>Ellenberger Park</t>
  </si>
  <si>
    <t>Day Camp 2024 | Gather | Rhodius</t>
  </si>
  <si>
    <t>Day Camp 2024 | Gather on the MOVE | Rhodius</t>
  </si>
  <si>
    <t>Day Camp 2024 | Windsor</t>
  </si>
  <si>
    <t>Day Camp 2024| 10-12 yr. old |Frederick Douglass</t>
  </si>
  <si>
    <t>Day Camp 2024| Riverside Park</t>
  </si>
  <si>
    <t>Riverside Park</t>
  </si>
  <si>
    <t>Day Camp 2025 | 10-12 yr. old | Frederick Douglass</t>
  </si>
  <si>
    <t>Day Camp 2025 | 11-13 yr old | Broad Ripple</t>
  </si>
  <si>
    <t>Day Camp 2025 | 11-13 yr old | Krannert</t>
  </si>
  <si>
    <t>Day Camp 2025 | 6-7 yr old | Broad Ripple</t>
  </si>
  <si>
    <t>Day Camp 2025 | 6-7 yr old | Krannert</t>
  </si>
  <si>
    <t>Day Camp 2025 | 6-8 | Garfield BFC</t>
  </si>
  <si>
    <t>Day Camp 2025 | 6-9 yr. old | Frederick Douglass</t>
  </si>
  <si>
    <t>Day Camp 2025 | 8-10 yr old | Broad Ripple</t>
  </si>
  <si>
    <t>Day Camp 2025 | 8-10 yr old | Krannert</t>
  </si>
  <si>
    <t>Day Camp 2025 | 9-11 | Garfield BFC</t>
  </si>
  <si>
    <t>Day Camp 2025 | Brookside</t>
  </si>
  <si>
    <t>Day Camp 2025 | Christian</t>
  </si>
  <si>
    <t>Day Camp 2025 | Ellenberger Park</t>
  </si>
  <si>
    <t>Day Camp 2025 | Gather | Rhodius</t>
  </si>
  <si>
    <t>Day Camp 2025 | Gather on the MOVE | Rhodius</t>
  </si>
  <si>
    <t>Day Camp 2025 | Riverside</t>
  </si>
  <si>
    <t>Day Camp 2025 | Windsor Village</t>
  </si>
  <si>
    <t>Windsor Village</t>
  </si>
  <si>
    <t>Pass</t>
  </si>
  <si>
    <t>Eagle Creek Single Day Vehicle Pass</t>
  </si>
  <si>
    <t>2024 Eagle Creek Senior Veteran Pass</t>
  </si>
  <si>
    <t>Garfield Park Weight Room</t>
  </si>
  <si>
    <t>Indy Parks Weight Room Pass</t>
  </si>
  <si>
    <t>Krannert Park Weight Room</t>
  </si>
  <si>
    <t>Rhodius Park Weight Room</t>
  </si>
  <si>
    <t>Riverside Park Weight Room</t>
  </si>
  <si>
    <t>Thatcher Park Weight Room</t>
  </si>
  <si>
    <t>Washington Park Weight Room</t>
  </si>
  <si>
    <t>Bethel Park Open Gym Pass - Monthly</t>
  </si>
  <si>
    <t>Broad Ripple - Monthly Gym and Playground Pass</t>
  </si>
  <si>
    <t>Garfield Park Open Gym Pass</t>
  </si>
  <si>
    <t>Indy Parks Open Gym Pass -</t>
  </si>
  <si>
    <t>Krannert Park Open Gym Pass</t>
  </si>
  <si>
    <t>Municipal Garden Park Open Gym Pass - Monthly</t>
  </si>
  <si>
    <t>Thatcher Park Open Gym Pass</t>
  </si>
  <si>
    <t>Windsor Park Open Gym Pass</t>
  </si>
  <si>
    <t>Washington Park Open Gym</t>
  </si>
  <si>
    <t>2024 Eagle Creek Senior Pass</t>
  </si>
  <si>
    <t>Bethel Park Weight Room &amp; Gym Pass - Monthly</t>
  </si>
  <si>
    <t>Indy Parks Weight Room &amp;</t>
  </si>
  <si>
    <t>Krannert Park Weight Room &amp; Gym Pass - Monthly</t>
  </si>
  <si>
    <t>Thatcher Park Weight Room &amp; Gym Pass - Monthly</t>
  </si>
  <si>
    <t>2025 Eagle Creek Senior Veteran Pass</t>
  </si>
  <si>
    <t>Indy Parks Weight Room &amp; Gym Pass - Monthly</t>
  </si>
  <si>
    <t>2024 Eagle Creek Resident Veteran Pass</t>
  </si>
  <si>
    <t>Krannert Park Pool, Fitness &amp; Gym Pass - Monthly</t>
  </si>
  <si>
    <t>2025 Eagle Creek Resident Veteran Pass</t>
  </si>
  <si>
    <t>2024 Black Friday Eagle Creek Senior Pass</t>
  </si>
  <si>
    <t>2024 Eagle Creek Non-Resident Veteran Pass</t>
  </si>
  <si>
    <t>Garfield Conservatory Individual Annual Pass</t>
  </si>
  <si>
    <t>2025 Black Friday Eagle Creek Senior Pass</t>
  </si>
  <si>
    <t>2025 Eagle Creek Non-Resident Veteran Pass</t>
  </si>
  <si>
    <t>2024 Black Friday Eagle Creek Resident Pass</t>
  </si>
  <si>
    <t>Pool Pass | Summer Season</t>
  </si>
  <si>
    <t>2025 Black Friday Eagle Creek Non-Resident Pass</t>
  </si>
  <si>
    <t>2025 Eagle Creek Senior Pass</t>
  </si>
  <si>
    <t>2025 Pool Pass | Summer</t>
  </si>
  <si>
    <t>Indoor Pool Pass | Three</t>
  </si>
  <si>
    <t xml:space="preserve">2024 Black Friday Eagle Creek Non-Resident Pass </t>
  </si>
  <si>
    <t>2024 Eagle Creek Resident</t>
  </si>
  <si>
    <t>2025 Black Friday Eagle Creek Resident Pass</t>
  </si>
  <si>
    <t>2025 Eagle Creek Resident</t>
  </si>
  <si>
    <t>2024 Eagle Creek Non-Resident Pass</t>
  </si>
  <si>
    <t>2025 Eagle Creek Non-Resident Pass</t>
  </si>
  <si>
    <t>Garfield Conservatory Family Annual Pass</t>
  </si>
  <si>
    <t>Perry Ice Rink Skate Sharpening</t>
  </si>
  <si>
    <t>POS</t>
  </si>
  <si>
    <t>13-17 Open Gym</t>
  </si>
  <si>
    <t>Admission</t>
  </si>
  <si>
    <t>Fee - Youth Open Gym</t>
  </si>
  <si>
    <t>Bethel - After School Tennis</t>
  </si>
  <si>
    <t>Open Gym</t>
  </si>
  <si>
    <t>Douglass - Airheads</t>
  </si>
  <si>
    <t>Merchandise</t>
  </si>
  <si>
    <t>Mini Mart</t>
  </si>
  <si>
    <t>Bethel - Airheads</t>
  </si>
  <si>
    <t>Brookside - Airheads</t>
  </si>
  <si>
    <t>Bethel - City Wide Basketball</t>
  </si>
  <si>
    <t>City Wide</t>
  </si>
  <si>
    <t>Bethel - Citywide Ball Spectator</t>
  </si>
  <si>
    <t>Bethel - Futsal</t>
  </si>
  <si>
    <t>Bethel - Open BBall - Adult</t>
  </si>
  <si>
    <t>Bethel - Senior Aerobics</t>
  </si>
  <si>
    <t>ECB - Airheads</t>
  </si>
  <si>
    <t>Bethel Aqua - Adult Admission</t>
  </si>
  <si>
    <t>Aquatics</t>
  </si>
  <si>
    <t>Bethel Aqua - Swim Diaper</t>
  </si>
  <si>
    <t>Bethel Aqua - Yth/Sr Admission</t>
  </si>
  <si>
    <t>Broad Ripple - Additional Key Fob</t>
  </si>
  <si>
    <t>Dog Park</t>
  </si>
  <si>
    <t>Broad Ripple - Adult Open Gym</t>
  </si>
  <si>
    <t>Broad Ripple - Bark Park Replacement  Fob</t>
  </si>
  <si>
    <t>Broad Ripple - Bark Park Replacement Tag</t>
  </si>
  <si>
    <t>Broad Ripple - Daily Bark Park Pass</t>
  </si>
  <si>
    <t>Broad Ripple - Dance Fusion</t>
  </si>
  <si>
    <t>Program</t>
  </si>
  <si>
    <t>Broad Ripple - Kid's Corner</t>
  </si>
  <si>
    <t>Playground</t>
  </si>
  <si>
    <t>Broad Ripple - PreSchool Partners</t>
  </si>
  <si>
    <t>Broad Ripple Aqua - Adult Admission</t>
  </si>
  <si>
    <t>Broad Ripple Aqua - Yth/Sr Admission</t>
  </si>
  <si>
    <t>Brookside - Adult Open Gym</t>
  </si>
  <si>
    <t>Ellenberger - Airheads</t>
  </si>
  <si>
    <t>King - Airheads</t>
  </si>
  <si>
    <t>NWW - Airheads</t>
  </si>
  <si>
    <t>Rhodius - Airheads</t>
  </si>
  <si>
    <t>Brookside Aqua - Adult Admission</t>
  </si>
  <si>
    <t>Brookside Aqua - Yth/Sr Admission</t>
  </si>
  <si>
    <t>Christian - Open Ball Adult</t>
  </si>
  <si>
    <t>Chuck Klein - Large Drink</t>
  </si>
  <si>
    <t>Concessions</t>
  </si>
  <si>
    <t>Chuck Klein - Large ICE</t>
  </si>
  <si>
    <t>Chuck Klein - Small Drink</t>
  </si>
  <si>
    <t>CK - Aquafina</t>
  </si>
  <si>
    <t>CK - Cheese</t>
  </si>
  <si>
    <t>CK - Chips</t>
  </si>
  <si>
    <t>CK - Dill Pickle</t>
  </si>
  <si>
    <t>CK - Energy Drink</t>
  </si>
  <si>
    <t>CK - Flavor Ice</t>
  </si>
  <si>
    <t>CK - Gatorade Blue</t>
  </si>
  <si>
    <t>CK - Gatorade Lemon-Lime</t>
  </si>
  <si>
    <t>CK - Gatorade Purple</t>
  </si>
  <si>
    <t>CK - Gatorade Red</t>
  </si>
  <si>
    <t>CK - Hot Dog</t>
  </si>
  <si>
    <t>CK - Kit Kat</t>
  </si>
  <si>
    <t>CK - Nacho chips</t>
  </si>
  <si>
    <t>CK - Peanut M&amp;Ms</t>
  </si>
  <si>
    <t>CK - Pretzel</t>
  </si>
  <si>
    <t>CK - Reeses</t>
  </si>
  <si>
    <t>CK - Skittles</t>
  </si>
  <si>
    <t>CK - Slushee</t>
  </si>
  <si>
    <t>CK - Snickers</t>
  </si>
  <si>
    <t>CK - Twix</t>
  </si>
  <si>
    <t>Clay - GPAC</t>
  </si>
  <si>
    <t>Arts center</t>
  </si>
  <si>
    <t>Douglass - Adaptive Open Gym</t>
  </si>
  <si>
    <t>Douglass - Adult Basketball</t>
  </si>
  <si>
    <t>Sahm - Airheads</t>
  </si>
  <si>
    <t>Bethel - Cheetos</t>
  </si>
  <si>
    <t>Bethel - Chips</t>
  </si>
  <si>
    <t>Douglass - City Wide Ball Spectator</t>
  </si>
  <si>
    <t>Douglass - Senior Fitness $1</t>
  </si>
  <si>
    <t>Douglass - Volleyball</t>
  </si>
  <si>
    <t>Brookside - Cheetos</t>
  </si>
  <si>
    <t>Douglass - Weight room</t>
  </si>
  <si>
    <t>Weight Room</t>
  </si>
  <si>
    <t>Douglass Aqua - Adult Admission</t>
  </si>
  <si>
    <t>Douglass Aqua - Swim Diaper</t>
  </si>
  <si>
    <t>Douglass Aqua - Yth/Sr Admission</t>
  </si>
  <si>
    <t>Eberg- Valentine's Day Skate - Couple</t>
  </si>
  <si>
    <t>Eburg - Futsal</t>
  </si>
  <si>
    <t>Eburg Aqua - Adult Admission</t>
  </si>
  <si>
    <t>Eburg Aqua - Yth/Sr Admission</t>
  </si>
  <si>
    <t>EC -  Annual Pass- Boat Ramp</t>
  </si>
  <si>
    <t>EC - 2025 Non-Resident Pass</t>
  </si>
  <si>
    <t>EC - 2025 Resident Pass</t>
  </si>
  <si>
    <t>EC - 2025 Senior Pass</t>
  </si>
  <si>
    <t>EC - Annual Canoe Pass</t>
  </si>
  <si>
    <t>EC - Bark Park Daily Pass</t>
  </si>
  <si>
    <t>EC - Bark Park Replacement Fob</t>
  </si>
  <si>
    <t>EC - Daily Admission Non Resident</t>
  </si>
  <si>
    <t>EC - Daily Admission Resident</t>
  </si>
  <si>
    <t>EC - EDC Youth School Program $10</t>
  </si>
  <si>
    <t>EC - EDC Youth School Program $4</t>
  </si>
  <si>
    <t>EC - EDC Youth School Program $5</t>
  </si>
  <si>
    <t>EC - EDC Youth School Program $6</t>
  </si>
  <si>
    <t>EC - EDC Youth School Program $7</t>
  </si>
  <si>
    <t>EC - EDC Youth School Program $8</t>
  </si>
  <si>
    <t>EC - Gate Adm Biker/Hiker</t>
  </si>
  <si>
    <t>EC - Gate Bus Entry Weekday</t>
  </si>
  <si>
    <t>EC - Gate Bus Entry Weekend</t>
  </si>
  <si>
    <t>EC - Gate Car Top Launch</t>
  </si>
  <si>
    <t>EC - Lake User fee Motorized</t>
  </si>
  <si>
    <t>EC - Lake User fee Non Motor</t>
  </si>
  <si>
    <t>EC - Mooring Extra Key</t>
  </si>
  <si>
    <t>Mooring</t>
  </si>
  <si>
    <t>EC Ornith - Youth School Program $5</t>
  </si>
  <si>
    <t>EC Ornith - Youth School Program $6</t>
  </si>
  <si>
    <t>EC Ornith - Youth School Program $7</t>
  </si>
  <si>
    <t>EC Ornith - Youth School Program $8</t>
  </si>
  <si>
    <t>Brookside - Chips</t>
  </si>
  <si>
    <t>Douglass - Cheetos</t>
  </si>
  <si>
    <t>Douglass - Chips</t>
  </si>
  <si>
    <t>Garfield Cons - $25 Photo Fee ( NonCOM)</t>
  </si>
  <si>
    <t>Conservatory</t>
  </si>
  <si>
    <t>GPAC - Dollar Collage Night</t>
  </si>
  <si>
    <t>ECB - Chips</t>
  </si>
  <si>
    <t>Indy Island - Dole Fruit Punch</t>
  </si>
  <si>
    <t>Indy Island - Hot Chocolate</t>
  </si>
  <si>
    <t>King Aqua - Swim Diaper</t>
  </si>
  <si>
    <t>Krannert - Birthing Class</t>
  </si>
  <si>
    <t>Krannert - Senior Cards</t>
  </si>
  <si>
    <t>MG - Xtreme Hip Hop Aerobics</t>
  </si>
  <si>
    <t>Municipal - Youth Workout</t>
  </si>
  <si>
    <t>Perry - Bag of Ice</t>
  </si>
  <si>
    <t>Perry - Small Lemonade</t>
  </si>
  <si>
    <t>Perry - Small Sierra Mist</t>
  </si>
  <si>
    <t>Perry - Soda 20oz</t>
  </si>
  <si>
    <t>Riverside - Adult Open B-Ball</t>
  </si>
  <si>
    <t>Thatcher - Youth Basketball $1</t>
  </si>
  <si>
    <t>Washington - Friday Fun Zone Adult</t>
  </si>
  <si>
    <t>Watkins - Adult Basketball</t>
  </si>
  <si>
    <t>King - Cheetos</t>
  </si>
  <si>
    <t>Indy Island - Refill</t>
  </si>
  <si>
    <t>Krannert - Express Yoga</t>
  </si>
  <si>
    <t>Krannert - Pet Photos</t>
  </si>
  <si>
    <t>Perry - Annual Instructor Fee</t>
  </si>
  <si>
    <t>Smock - Bark Park  Replacement Fob</t>
  </si>
  <si>
    <t>Thatcher Aqua - Aqua Power Hour</t>
  </si>
  <si>
    <t>Garfield Cons - Prof/Non Portrait Photo Permit $75</t>
  </si>
  <si>
    <t>Ellenberger - Chips</t>
  </si>
  <si>
    <t>Krannert In Aqua - Swim Diaper</t>
  </si>
  <si>
    <t>Municipal - Junior Basketball</t>
  </si>
  <si>
    <t>Paul Ruster  - Bark Park  Replacement Fob</t>
  </si>
  <si>
    <t>Garfield Aqua - Chips</t>
  </si>
  <si>
    <t>Thatcher - Krannert Zumba</t>
  </si>
  <si>
    <t>Washington - Fowling - Adult</t>
  </si>
  <si>
    <t>Garfield BFC - Indoor Walking</t>
  </si>
  <si>
    <t>MG - Weight Room</t>
  </si>
  <si>
    <t>Ellenberger - Swim Diaper</t>
  </si>
  <si>
    <t>Indy Island - Swim Diaper</t>
  </si>
  <si>
    <t>Sahm Aqua - Swim Diaper</t>
  </si>
  <si>
    <t>Garfield Cons - Plant Sale $25</t>
  </si>
  <si>
    <t>Garfield Cons - Family Annual Pass</t>
  </si>
  <si>
    <t>King - Chips</t>
  </si>
  <si>
    <t>Thatcher Aqua - Aqua Arthritis</t>
  </si>
  <si>
    <t>Krannert - Land Arthritis</t>
  </si>
  <si>
    <t>Paul Ruster  - Bark Park Daily Pass</t>
  </si>
  <si>
    <t>NWW - Cheetos</t>
  </si>
  <si>
    <t>Garfield Aqua - Adult Admission</t>
  </si>
  <si>
    <t>Garfield Family - Swim Diaper</t>
  </si>
  <si>
    <t>NWW - Chips</t>
  </si>
  <si>
    <t>Smock - Bark Park Daily Pass</t>
  </si>
  <si>
    <t>Rhodius - Chips</t>
  </si>
  <si>
    <t>Sahm - Cheetos</t>
  </si>
  <si>
    <t>Garfield Aqua - Yth/Sr Admission</t>
  </si>
  <si>
    <t>Garfield BFC - Chair Yoga</t>
  </si>
  <si>
    <t>Garfield BFC - Senior Sweat</t>
  </si>
  <si>
    <t>Rhodius - Adult Basketball</t>
  </si>
  <si>
    <t>Garfield Cons - $1 program add-on</t>
  </si>
  <si>
    <t>Garfield Cons - $5 EE Adult Program</t>
  </si>
  <si>
    <t>Garfield Cons - $5 EE Youth Program</t>
  </si>
  <si>
    <t>Garfield Cons - $6 EE Adult Program</t>
  </si>
  <si>
    <t>Garfield Cons - $6 EE Youth Program</t>
  </si>
  <si>
    <t>Garfield Cons - General Admission</t>
  </si>
  <si>
    <t>Garfield Cons - Individual Annual Pass</t>
  </si>
  <si>
    <t>Garfield Cons - Plant Sale $1</t>
  </si>
  <si>
    <t>Garfield Cons - Plant Sale $10</t>
  </si>
  <si>
    <t>Garfield Cons - Plant Sale $12</t>
  </si>
  <si>
    <t>Garfield Cons - Plant Sale $15</t>
  </si>
  <si>
    <t>Garfield Cons - Plant Sale $20</t>
  </si>
  <si>
    <t>Garfield Cons - Plant Sale $4</t>
  </si>
  <si>
    <t>Garfield Cons - Plant Sale $6</t>
  </si>
  <si>
    <t>Garfield Cons - Plant Sale $8</t>
  </si>
  <si>
    <t>Garfield Cons - Show Family Admission</t>
  </si>
  <si>
    <t>Garfield Cons - Show Individual Admission</t>
  </si>
  <si>
    <t>Garfield Family - Adult Open Gym</t>
  </si>
  <si>
    <t>Garfield Family - Pickleball</t>
  </si>
  <si>
    <t>GPAC - Open Studio $10</t>
  </si>
  <si>
    <t>Rental</t>
  </si>
  <si>
    <t>GPAC - Open Studio $5</t>
  </si>
  <si>
    <t>GPAC - Vintage Movie Drop In</t>
  </si>
  <si>
    <t>Gus Aqua - Adult Admission</t>
  </si>
  <si>
    <t>Gus Aqua - Yth/Sr Admission</t>
  </si>
  <si>
    <t>GWCS Aqua - Adult Admission</t>
  </si>
  <si>
    <t>GWCS Aqua - Yth/Sr Admission</t>
  </si>
  <si>
    <t>Holliday - Youth School Program $3</t>
  </si>
  <si>
    <t>Holliday - Youth School Program $5</t>
  </si>
  <si>
    <t>Indy Island - Airheads</t>
  </si>
  <si>
    <t>Indy Island - bottle water</t>
  </si>
  <si>
    <t>Indy Island - Chips</t>
  </si>
  <si>
    <t>Indy Island - Cotton Candy</t>
  </si>
  <si>
    <t>Indy Island - Diet Pepsi Bottle</t>
  </si>
  <si>
    <t>Indy Island - Extra Chili Cheese</t>
  </si>
  <si>
    <t>Indy Island - Gatorade</t>
  </si>
  <si>
    <t>Indy Island - Hot Dog</t>
  </si>
  <si>
    <t>Indy Island - Lemonade</t>
  </si>
  <si>
    <t>Indy Island - M&amp;Ms</t>
  </si>
  <si>
    <t>Indy Island - Mt Dew Bottle</t>
  </si>
  <si>
    <t>Indy Island - Nachos</t>
  </si>
  <si>
    <t>Indy Island - Pepsi Bottle</t>
  </si>
  <si>
    <t>Indy Island - Pickles</t>
  </si>
  <si>
    <t>Indy Island - Pretzel</t>
  </si>
  <si>
    <t>Windsor - Adult Open Ball</t>
  </si>
  <si>
    <t>Indy Island - Skittles</t>
  </si>
  <si>
    <t>Indy Island - Snickers</t>
  </si>
  <si>
    <t>Indy Island - Starry</t>
  </si>
  <si>
    <t>Indy Island - Tropicana Lemonade</t>
  </si>
  <si>
    <t>Indy Island - Yoga</t>
  </si>
  <si>
    <t>Island Aqua - Adult Admission</t>
  </si>
  <si>
    <t>Island Aqua - Water Aerobics</t>
  </si>
  <si>
    <t>Island Aqua - Yth/Sr Admission</t>
  </si>
  <si>
    <t>IWSP - Clogging</t>
  </si>
  <si>
    <t>IWSP - Line Dance</t>
  </si>
  <si>
    <t>Sahm - Chips</t>
  </si>
  <si>
    <t>Bethel - Water</t>
  </si>
  <si>
    <t>King Aqua - Adult Admission</t>
  </si>
  <si>
    <t>King Aqua - Yth/Sr Admission</t>
  </si>
  <si>
    <t>SEW - Field Trip $4</t>
  </si>
  <si>
    <t>Krannert - Basketball Adult</t>
  </si>
  <si>
    <t>Krannert - Chair Yoga</t>
  </si>
  <si>
    <t>Krannert - Futsal</t>
  </si>
  <si>
    <t>Krannert - Pickle Ball</t>
  </si>
  <si>
    <t>Riverside - Senior Fitness $1</t>
  </si>
  <si>
    <t>Krannert - Senior Sweat</t>
  </si>
  <si>
    <t>Krannert - Volleyball</t>
  </si>
  <si>
    <t>Krannert - Weight Room Admission</t>
  </si>
  <si>
    <t>Krannert - Zumba</t>
  </si>
  <si>
    <t>Krannert In Aqua - Adult Admission</t>
  </si>
  <si>
    <t>Krannert In Aqua - Aqua Arthritis</t>
  </si>
  <si>
    <t>Krannert In Aqua - Water Aerobics</t>
  </si>
  <si>
    <t>Krannert In Aqua - Yth/Sr Admission</t>
  </si>
  <si>
    <t>Krannert -Line Dancing</t>
  </si>
  <si>
    <t>Municipal - Adult Basketball</t>
  </si>
  <si>
    <t>No features admission</t>
  </si>
  <si>
    <t>No features Yth/Sr Admission</t>
  </si>
  <si>
    <t>Brookside - Water</t>
  </si>
  <si>
    <t>Douglass - Water</t>
  </si>
  <si>
    <t>ECB - Water</t>
  </si>
  <si>
    <t>Gus - Water</t>
  </si>
  <si>
    <t>NWW Aqua - Adult Admission</t>
  </si>
  <si>
    <t>NWW Aqua - Yth/Sr Admission</t>
  </si>
  <si>
    <t>Perry - $2 Candy</t>
  </si>
  <si>
    <t>Perry - Aquafina</t>
  </si>
  <si>
    <t>SEW - Field Trip $8</t>
  </si>
  <si>
    <t>Perry - Black Hockey Tape</t>
  </si>
  <si>
    <t>Hockey Equipment</t>
  </si>
  <si>
    <t>Perry - Chips</t>
  </si>
  <si>
    <t>Perry - Clear Hockey Tape</t>
  </si>
  <si>
    <t>Perry - Coffee</t>
  </si>
  <si>
    <t>Perry - Cup of Ice/Water</t>
  </si>
  <si>
    <t>Perry - Drop-In Hockey - Skater</t>
  </si>
  <si>
    <t>Washington - Basketball Adult</t>
  </si>
  <si>
    <t>Perry - Extra Cheese</t>
  </si>
  <si>
    <t>SEW - Bugfest Car Admission</t>
  </si>
  <si>
    <t>Perry - Extra Chili</t>
  </si>
  <si>
    <t>Perry - Extra Jalapeno</t>
  </si>
  <si>
    <t>Perry - Extra Salsa</t>
  </si>
  <si>
    <t>Perry - Flavor Ice</t>
  </si>
  <si>
    <t>Perry - Freestyle - Adult</t>
  </si>
  <si>
    <t>Perry - Freestyle - Youth</t>
  </si>
  <si>
    <t>Perry - French Toast Sticks</t>
  </si>
  <si>
    <t>Perry - Gatorade</t>
  </si>
  <si>
    <t>Perry - Hot Chocolate</t>
  </si>
  <si>
    <t>Perry - Hot Dog</t>
  </si>
  <si>
    <t>Washington - Senior Fitness $1</t>
  </si>
  <si>
    <t>Perry - Ice Cream</t>
  </si>
  <si>
    <t>SEW - Field Trip $3</t>
  </si>
  <si>
    <t>Perry - Intramurals</t>
  </si>
  <si>
    <t>Perry - Mouthpiece</t>
  </si>
  <si>
    <t>Perry - Nachos</t>
  </si>
  <si>
    <t>Perry - Pretzel</t>
  </si>
  <si>
    <t>Perry - Public Skate - Adult</t>
  </si>
  <si>
    <t>Perry - Public Skate - Youth/Senior</t>
  </si>
  <si>
    <t>SEW - Field Trip $6</t>
  </si>
  <si>
    <t>Perry - Skate Laces</t>
  </si>
  <si>
    <t>Perry - Skate Rental</t>
  </si>
  <si>
    <t>Perry - Skate Sharpening Rink</t>
  </si>
  <si>
    <t>SEW - Field Trip $5</t>
  </si>
  <si>
    <t>Perry - Slushie</t>
  </si>
  <si>
    <t>Perry - Small Crush</t>
  </si>
  <si>
    <t>Perry - Small Diet Pepsi</t>
  </si>
  <si>
    <t>Perry - Small Dr. Pepper</t>
  </si>
  <si>
    <t>Perry - Small Mt Dew</t>
  </si>
  <si>
    <t>Perry - Small Pepsi</t>
  </si>
  <si>
    <t>Perry - Stick &amp; Puck - Skater</t>
  </si>
  <si>
    <t>Perry - Swim Diaper</t>
  </si>
  <si>
    <t>Perry - White Hockey Tape</t>
  </si>
  <si>
    <t>Perry Aqua - Adult Admission</t>
  </si>
  <si>
    <t>Perry Aqua - Yth/Sr Admission</t>
  </si>
  <si>
    <t>PiYo</t>
  </si>
  <si>
    <t>Ellenberger - Water</t>
  </si>
  <si>
    <t>Garfield Aqua - Water</t>
  </si>
  <si>
    <t>Thatcher - Adult Open Ball</t>
  </si>
  <si>
    <t>NWW - Water</t>
  </si>
  <si>
    <t>Rhodius Aqua - Adult Admission</t>
  </si>
  <si>
    <t>Rhodius Aqua - Yth/Sr Admission</t>
  </si>
  <si>
    <t>Rhodius Park - Sensory Room</t>
  </si>
  <si>
    <t>Riverside - Adult Weight Rm. Adm</t>
  </si>
  <si>
    <t>Riverside Aqua - Adult Admission</t>
  </si>
  <si>
    <t>Riverside Aqua - Yth/Sr Admission</t>
  </si>
  <si>
    <t>Rhodius - Water</t>
  </si>
  <si>
    <t>Sahm - Water</t>
  </si>
  <si>
    <t>Ellenberger - Cheetos</t>
  </si>
  <si>
    <t>Garfield Aqua - Airheads</t>
  </si>
  <si>
    <t>Sahm Aqua - Adult Admission</t>
  </si>
  <si>
    <t>Sahm Aqua - Yth/Sr Admission</t>
  </si>
  <si>
    <t>Senior Chair Yoga</t>
  </si>
  <si>
    <t>Thatcher -  Weight/Fitness Room Admission</t>
  </si>
  <si>
    <t>Thatcher - Aqua Aerobics</t>
  </si>
  <si>
    <t>Thatcher - Pickleball</t>
  </si>
  <si>
    <t>Thatcher Aqua - Adult Admission</t>
  </si>
  <si>
    <t>Thatcher Aqua - Yth/Sr Admission</t>
  </si>
  <si>
    <t>Pool Entry</t>
  </si>
  <si>
    <t>Therapeutic - Rec Dances</t>
  </si>
  <si>
    <t>Washington - Badminton</t>
  </si>
  <si>
    <t>Washington - Weight Room Admission Daily</t>
  </si>
  <si>
    <t>Windsor - Pickleball</t>
  </si>
  <si>
    <t>N/A</t>
  </si>
  <si>
    <t>Site</t>
  </si>
  <si>
    <t>Programs</t>
  </si>
  <si>
    <t>Total_Participants</t>
  </si>
  <si>
    <t>Total_Revenue</t>
  </si>
  <si>
    <t>Revenue_per_Participant</t>
  </si>
  <si>
    <t>Package Name</t>
  </si>
  <si>
    <t>Years</t>
  </si>
  <si>
    <t>Total_Sales</t>
  </si>
  <si>
    <t>Total_Income</t>
  </si>
  <si>
    <t>Fee_Revenue</t>
  </si>
  <si>
    <t>2024 Eagle Creek Disabled Veteran Pass</t>
  </si>
  <si>
    <t>2024 Eagle Creek Foundation</t>
  </si>
  <si>
    <t>2025 Eagle Creek Disabled Veteran Pass</t>
  </si>
  <si>
    <t>2025 Eagle Creek Foundation</t>
  </si>
  <si>
    <t>2025 Indy Parks Adult Pass - walking, game room</t>
  </si>
  <si>
    <t>2025 Indy Parks Youth Open Gym Pass</t>
  </si>
  <si>
    <t>2025 Lifeguard Train Up</t>
  </si>
  <si>
    <t>ARPA - Fitness Programs</t>
  </si>
  <si>
    <t>Aquatic 2022 Summer season</t>
  </si>
  <si>
    <t>Broad Ripple - Youth Open</t>
  </si>
  <si>
    <t>Brookside - Youth Open Gym</t>
  </si>
  <si>
    <t>Brookside Park Open Gym Pass - Monthly</t>
  </si>
  <si>
    <t>DO NOT USE - 2016</t>
  </si>
  <si>
    <t>Eagle Creek Employee Pass</t>
  </si>
  <si>
    <t>Eagle Creek Volunteer Pass</t>
  </si>
  <si>
    <t>Frederick Douglass - Walking Track 2024</t>
  </si>
  <si>
    <t>Frederick Douglass - Youth Open Gym 2024</t>
  </si>
  <si>
    <t>Krannert - Walking Track 2024</t>
  </si>
  <si>
    <t>Krannert - Walking Track 2025</t>
  </si>
  <si>
    <t>Krannert - Youth Gym 2024</t>
  </si>
  <si>
    <t>Municipal Gardens - Youth Open Gym 2024</t>
  </si>
  <si>
    <t>Municipal Gardens - Youth Open Gym 2025</t>
  </si>
  <si>
    <t>Rhodius - Youth Open Gym 2024</t>
  </si>
  <si>
    <t>Riverside - Youth Open Gym</t>
  </si>
  <si>
    <t>Stanley Strader - Youth Open</t>
  </si>
  <si>
    <t>Windsor Village - Youth Open</t>
  </si>
  <si>
    <t>Gross_Amount</t>
  </si>
  <si>
    <t>Net_Amount</t>
  </si>
  <si>
    <t>Revenue_2025</t>
  </si>
  <si>
    <t>Potential_2026</t>
  </si>
  <si>
    <t>donation</t>
  </si>
  <si>
    <t>Product_short</t>
  </si>
  <si>
    <t>Garfield Cons - Show Individual Admissio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</si>
</sst>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;\(\-#,##0\)"/>
    <numFmt numFmtId="165" formatCode="\$#,##0.##;\$\(\-#,##0.##\)"/>
    <numFmt numFmtId="166" formatCode="&quot;$&quot;#,##0.00"/>
  </numFmts>
  <fonts count="1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9"/>
      <color rgb="FF000000"/>
      <name val="SansSerif"/>
      <family val="2"/>
    </font>
    <font>
      <sz val="9"/>
      <color rgb="FF000000"/>
      <name val="SansSerif"/>
      <family val="2"/>
    </font>
    <font>
      <sz val="11"/>
      <color rgb="FF000000"/>
      <name val="Aptos Narrow"/>
      <family val="2"/>
    </font>
    <font>
      <b/>
      <sz val="11"/>
      <color rgb="FF000000"/>
      <name val="Calibri"/>
      <scheme val="minor"/>
    </font>
    <font>
      <b/>
      <sz val="14"/>
      <color theme="1"/>
      <name val="Roboto"/>
      <charset val="1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vertical="center" wrapText="1"/>
    </xf>
    <xf numFmtId="8" fontId="5" fillId="0" borderId="0" xfId="0" applyNumberFormat="1" applyFont="1" applyFill="1" applyBorder="1" applyAlignment="1"/>
    <xf numFmtId="8" fontId="0" fillId="0" borderId="0" xfId="0" applyNumberFormat="1"/>
    <xf numFmtId="0" fontId="6" fillId="0" borderId="0" xfId="0" applyFont="1"/>
    <xf numFmtId="2" fontId="0" fillId="0" borderId="0" xfId="0" applyNumberFormat="1"/>
    <xf numFmtId="166" fontId="0" fillId="0" borderId="0" xfId="0" applyNumberFormat="1"/>
    <xf numFmtId="0" fontId="6" fillId="2" borderId="0" xfId="0" applyFont="1" applyFill="1"/>
    <xf numFmtId="0" fontId="0" fillId="2" borderId="0" xfId="0" applyFill="1"/>
    <xf numFmtId="0" fontId="7" fillId="0" borderId="0" xfId="0" applyFont="1"/>
    <xf numFmtId="0" fontId="9" fillId="3" borderId="0" xfId="0" applyFont="1" applyFill="1"/>
    <xf numFmtId="0" fontId="0" fillId="4" borderId="0" xfId="0" applyFill="1"/>
    <xf numFmtId="0" fontId="10" fillId="0" borderId="0" xfId="0" applyFont="1"/>
    <xf numFmtId="0" fontId="0" fillId="0" borderId="0" xfId="0" applyAlignment="1">
      <alignment horizontal="right"/>
    </xf>
    <xf numFmtId="44" fontId="0" fillId="0" borderId="0" xfId="1" applyFont="1"/>
    <xf numFmtId="44" fontId="0" fillId="4" borderId="0" xfId="1" applyFont="1" applyFill="1"/>
    <xf numFmtId="8" fontId="0" fillId="4" borderId="0" xfId="1" applyNumberFormat="1" applyFont="1" applyFill="1"/>
    <xf numFmtId="0" fontId="10" fillId="0" borderId="0" xfId="0" applyFont="1" applyAlignment="1">
      <alignment horizontal="left"/>
    </xf>
    <xf numFmtId="44" fontId="0" fillId="0" borderId="0" xfId="1" applyFont="1" applyAlignment="1">
      <alignment horizontal="right"/>
    </xf>
    <xf numFmtId="44" fontId="0" fillId="4" borderId="0" xfId="1" applyFont="1" applyFill="1" applyAlignment="1">
      <alignment horizontal="right"/>
    </xf>
    <xf numFmtId="8" fontId="0" fillId="4" borderId="0" xfId="1" applyNumberFormat="1" applyFont="1" applyFill="1" applyAlignment="1">
      <alignment horizontal="right"/>
    </xf>
    <xf numFmtId="44" fontId="0" fillId="0" borderId="0" xfId="1" applyFont="1" applyFill="1"/>
    <xf numFmtId="166" fontId="0" fillId="4" borderId="0" xfId="1" applyNumberFormat="1" applyFont="1" applyFill="1"/>
    <xf numFmtId="166" fontId="5" fillId="0" borderId="0" xfId="0" applyNumberFormat="1" applyFont="1" applyFill="1" applyBorder="1" applyAlignment="1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1" fillId="0" borderId="0" xfId="0" applyFont="1" applyFill="1" applyBorder="1" applyAlignment="1"/>
    <xf numFmtId="0" fontId="12" fillId="0" borderId="1" xfId="0" applyFont="1" applyFill="1" applyBorder="1" applyAlignment="1"/>
    <xf numFmtId="0" fontId="12" fillId="0" borderId="2" xfId="0" applyFont="1" applyFill="1" applyBorder="1" applyAlignment="1"/>
    <xf numFmtId="0" fontId="11" fillId="0" borderId="0" xfId="0" applyFont="1" applyFill="1" applyAlignment="1"/>
    <xf numFmtId="0" fontId="13" fillId="0" borderId="3" xfId="0" applyFont="1" applyFill="1" applyBorder="1" applyAlignment="1"/>
    <xf numFmtId="0" fontId="13" fillId="0" borderId="0" xfId="0" applyFont="1" applyFill="1" applyAlignment="1"/>
    <xf numFmtId="0" fontId="11" fillId="0" borderId="4" xfId="0" applyFont="1" applyFill="1" applyBorder="1" applyAlignment="1"/>
    <xf numFmtId="11" fontId="11" fillId="0" borderId="0" xfId="0" applyNumberFormat="1" applyFont="1" applyFill="1" applyBorder="1" applyAlignment="1"/>
    <xf numFmtId="0" fontId="11" fillId="4" borderId="0" xfId="0" applyFont="1" applyFill="1" applyBorder="1" applyAlignment="1"/>
    <xf numFmtId="0" fontId="11" fillId="4" borderId="4" xfId="0" applyFont="1" applyFill="1" applyBorder="1" applyAlignment="1"/>
    <xf numFmtId="11" fontId="11" fillId="0" borderId="4" xfId="0" applyNumberFormat="1" applyFont="1" applyFill="1" applyBorder="1" applyAlignment="1"/>
    <xf numFmtId="11" fontId="11" fillId="4" borderId="0" xfId="0" applyNumberFormat="1" applyFont="1" applyFill="1" applyBorder="1" applyAlignment="1"/>
  </cellXfs>
  <cellStyles count="2">
    <cellStyle name="Currency" xfId="1" builtinId="4"/>
    <cellStyle name="Normal" xfId="0" builtinId="0"/>
  </cellStyles>
  <dxfs count="8">
    <dxf>
      <numFmt numFmtId="12" formatCode="&quot;$&quot;#,##0.00_);[Red]\(&quot;$&quot;#,##0.00\)"/>
    </dxf>
    <dxf>
      <numFmt numFmtId="12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&quot;$&quot;#,##0.00_);[Red]\(&quot;$&quot;#,##0.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'Revenue'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Tester'!D11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'Price Tester'!B11:B23</c:f>
              <c:strCache>
                <c:ptCount val="13"/>
                <c:pt idx="0">
                  <c:v>Price P</c:v>
                </c:pt>
                <c:pt idx="1">
                  <c:v>22.5</c:v>
                </c:pt>
                <c:pt idx="2">
                  <c:v>27</c:v>
                </c:pt>
                <c:pt idx="3">
                  <c:v>31.5</c:v>
                </c:pt>
                <c:pt idx="4">
                  <c:v>36</c:v>
                </c:pt>
                <c:pt idx="5">
                  <c:v>40.5</c:v>
                </c:pt>
                <c:pt idx="6">
                  <c:v>45</c:v>
                </c:pt>
                <c:pt idx="7">
                  <c:v>49.5</c:v>
                </c:pt>
                <c:pt idx="8">
                  <c:v>54</c:v>
                </c:pt>
                <c:pt idx="9">
                  <c:v>58.5</c:v>
                </c:pt>
                <c:pt idx="10">
                  <c:v>63</c:v>
                </c:pt>
                <c:pt idx="11">
                  <c:v>67.5</c:v>
                </c:pt>
                <c:pt idx="12">
                  <c:v>13.5</c:v>
                </c:pt>
              </c:strCache>
            </c:strRef>
          </c:cat>
          <c:val>
            <c:numRef>
              <c:f>'Price Tester'!D11:D22</c:f>
              <c:numCache>
                <c:formatCode>General</c:formatCode>
                <c:ptCount val="12"/>
                <c:pt idx="0">
                  <c:v>0</c:v>
                </c:pt>
                <c:pt idx="1">
                  <c:v>293.625</c:v>
                </c:pt>
                <c:pt idx="2">
                  <c:v>330.48000000000008</c:v>
                </c:pt>
                <c:pt idx="3">
                  <c:v>360.04500000000007</c:v>
                </c:pt>
                <c:pt idx="4">
                  <c:v>382.32000000000005</c:v>
                </c:pt>
                <c:pt idx="5">
                  <c:v>397.30500000000006</c:v>
                </c:pt>
                <c:pt idx="6">
                  <c:v>405.00000000000006</c:v>
                </c:pt>
                <c:pt idx="7">
                  <c:v>405.40500000000014</c:v>
                </c:pt>
                <c:pt idx="8">
                  <c:v>398.52000000000015</c:v>
                </c:pt>
                <c:pt idx="9">
                  <c:v>384.34500000000014</c:v>
                </c:pt>
                <c:pt idx="10">
                  <c:v>362.88000000000017</c:v>
                </c:pt>
                <c:pt idx="11">
                  <c:v>334.12500000000006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AF476C6F-4816-4BDF-9A0A-026875FFE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84168"/>
        <c:axId val="83700232"/>
      </c:lineChart>
      <c:catAx>
        <c:axId val="83484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00232"/>
        <c:crosses val="autoZero"/>
        <c:auto val="1"/>
        <c:lblAlgn val="ctr"/>
        <c:lblOffset val="100"/>
        <c:noMultiLvlLbl val="0"/>
      </c:catAx>
      <c:valAx>
        <c:axId val="8370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84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552450</xdr:colOff>
      <xdr:row>3</xdr:row>
      <xdr:rowOff>57150</xdr:rowOff>
    </xdr:from>
    <xdr:to>
      <xdr:col>15</xdr:col>
      <xdr:colOff>247650</xdr:colOff>
      <xdr:row>18</xdr:row>
      <xdr:rowOff>85725</xdr:rowOff>
    </xdr:to>
    <xdr:graphicFrame macro="">
      <xdr:nvGraphicFramePr>
        <xdr:cNvPr id="5" name="Chart 4" descr="Chart type: Line. 'Revenue'&#10;&#10;Description automatically generated">
          <a:extLst>
            <a:ext uri="{FF2B5EF4-FFF2-40B4-BE49-F238E27FC236}">
              <a16:creationId xmlns:a16="http://schemas.microsoft.com/office/drawing/2014/main" id="{27128FB2-49DE-28EC-9F87-D91A5898B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0DD053-4624-40FB-84C9-EC8F8E3C35A0}" name="Table2" displayName="Table2" ref="A1:A114" totalsRowShown="0" headerRowDxfId="7">
  <autoFilter ref="A1:A114" xr:uid="{420DD053-4624-40FB-84C9-EC8F8E3C35A0}"/>
  <tableColumns count="1">
    <tableColumn id="1" xr3:uid="{26A34D9C-47E0-4D83-A320-B6025FF1EC03}" name="Location">
      <calculatedColumnFormula>Assumptions!A2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FFF63E-A85F-41F7-99CA-913B6C44BA34}" name="Table3" displayName="Table3" ref="J1:J114" totalsRowShown="0" headerRowDxfId="6">
  <autoFilter ref="J1:J114" xr:uid="{52FFF63E-A85F-41F7-99CA-913B6C44BA34}"/>
  <tableColumns count="1">
    <tableColumn id="1" xr3:uid="{96214E2C-4F39-42ED-A30D-9AAC8D9C7B5F}" name="Proposed Revenue">
      <calculatedColumnFormula>G2*H2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220B6C-0EC0-4356-9A29-C54885B283A7}" name="Table4" displayName="Table4" ref="G1:G114" totalsRowShown="0" headerRowDxfId="5" dataDxfId="4">
  <autoFilter ref="G1:G114" xr:uid="{88220B6C-0EC0-4356-9A29-C54885B283A7}"/>
  <tableColumns count="1">
    <tableColumn id="1" xr3:uid="{78A7B6A0-A2B1-41EA-A86D-BEC60E43BEC5}" name="Proposed Price P1 (type)" dataDxfId="3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DFF3430-0B9D-48BF-A2FC-B7AA4CB331C5}" name="Table9" displayName="Table9" ref="R1:S114" totalsRowShown="0" headerRowDxfId="2">
  <autoFilter ref="R1:S114" xr:uid="{DDFF3430-0B9D-48BF-A2FC-B7AA4CB331C5}"/>
  <tableColumns count="2">
    <tableColumn id="1" xr3:uid="{84427A13-E895-4ED4-AF1C-7662AE949585}" name="proposed  max profit" dataDxfId="1">
      <calculatedColumnFormula>P2*Q2</calculatedColumnFormula>
    </tableColumn>
    <tableColumn id="3" xr3:uid="{CA8A8F08-6D7C-409B-A84A-D517B6723125}" name="marignal rev" dataDxfId="0">
      <calculatedColumnFormula>(Table3[[#This Row],[Proposed Revenue]]-I2)/(H2-C2)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"/>
  <sheetViews>
    <sheetView workbookViewId="0">
      <selection activeCell="D2" sqref="D2"/>
    </sheetView>
  </sheetViews>
  <sheetFormatPr defaultRowHeight="14.45"/>
  <cols>
    <col min="1" max="1" width="34" customWidth="1"/>
    <col min="2" max="4" width="16" customWidth="1"/>
    <col min="7" max="7" width="21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  <c r="H1" s="2" t="s">
        <v>5</v>
      </c>
    </row>
    <row r="2" spans="1:8">
      <c r="A2" s="3" t="s">
        <v>6</v>
      </c>
      <c r="B2" s="5">
        <v>45</v>
      </c>
      <c r="C2" s="4">
        <v>9</v>
      </c>
      <c r="D2">
        <v>-0.5</v>
      </c>
      <c r="G2" t="s">
        <v>7</v>
      </c>
      <c r="H2" t="s">
        <v>8</v>
      </c>
    </row>
    <row r="3" spans="1:8">
      <c r="A3" s="3" t="s">
        <v>9</v>
      </c>
      <c r="B3" s="5">
        <v>85</v>
      </c>
      <c r="C3" s="4">
        <v>44</v>
      </c>
      <c r="D3">
        <v>-0.5</v>
      </c>
    </row>
    <row r="4" spans="1:8">
      <c r="A4" s="3" t="s">
        <v>10</v>
      </c>
      <c r="B4" s="5">
        <v>85</v>
      </c>
      <c r="C4" s="4">
        <v>28</v>
      </c>
      <c r="D4">
        <v>-0.5</v>
      </c>
    </row>
    <row r="5" spans="1:8">
      <c r="A5" s="3" t="s">
        <v>11</v>
      </c>
      <c r="B5" s="5">
        <v>0</v>
      </c>
      <c r="C5" s="4">
        <v>2</v>
      </c>
      <c r="D5">
        <v>-0.5</v>
      </c>
    </row>
    <row r="6" spans="1:8">
      <c r="A6" s="3" t="s">
        <v>12</v>
      </c>
      <c r="B6" s="5">
        <v>85</v>
      </c>
      <c r="C6" s="4">
        <v>33</v>
      </c>
      <c r="D6">
        <v>-0.5</v>
      </c>
    </row>
    <row r="7" spans="1:8">
      <c r="A7" s="3" t="s">
        <v>13</v>
      </c>
      <c r="B7" s="5">
        <v>85</v>
      </c>
      <c r="C7" s="4">
        <v>2</v>
      </c>
      <c r="D7">
        <v>-0.5</v>
      </c>
    </row>
    <row r="8" spans="1:8">
      <c r="A8" s="3" t="s">
        <v>14</v>
      </c>
      <c r="B8" s="5">
        <v>85</v>
      </c>
      <c r="C8" s="4">
        <v>1</v>
      </c>
      <c r="D8">
        <v>-0.5</v>
      </c>
    </row>
    <row r="9" spans="1:8">
      <c r="A9" s="3" t="s">
        <v>15</v>
      </c>
      <c r="B9" s="5">
        <v>85</v>
      </c>
      <c r="C9" s="4">
        <v>9</v>
      </c>
      <c r="D9">
        <v>-0.5</v>
      </c>
    </row>
    <row r="10" spans="1:8">
      <c r="A10" s="3" t="s">
        <v>16</v>
      </c>
      <c r="B10" s="5">
        <v>110</v>
      </c>
      <c r="C10" s="4">
        <v>22</v>
      </c>
      <c r="D10">
        <v>-0.5</v>
      </c>
    </row>
    <row r="11" spans="1:8">
      <c r="A11" s="3" t="s">
        <v>17</v>
      </c>
      <c r="B11" s="5">
        <v>20</v>
      </c>
      <c r="C11" s="4">
        <v>26</v>
      </c>
      <c r="D11">
        <v>-0.5</v>
      </c>
    </row>
    <row r="12" spans="1:8">
      <c r="A12" s="3" t="s">
        <v>18</v>
      </c>
      <c r="B12" s="5">
        <v>70</v>
      </c>
      <c r="C12" s="4">
        <v>67</v>
      </c>
      <c r="D12">
        <v>-0.5</v>
      </c>
    </row>
    <row r="13" spans="1:8">
      <c r="A13" s="3" t="s">
        <v>19</v>
      </c>
      <c r="B13" s="5">
        <v>285</v>
      </c>
      <c r="C13" s="4">
        <v>97</v>
      </c>
      <c r="D13">
        <v>-0.5</v>
      </c>
    </row>
    <row r="14" spans="1:8">
      <c r="A14" s="3" t="s">
        <v>20</v>
      </c>
      <c r="B14" s="5">
        <v>135</v>
      </c>
      <c r="C14" s="4">
        <v>103</v>
      </c>
      <c r="D14">
        <v>-0.5</v>
      </c>
    </row>
    <row r="15" spans="1:8">
      <c r="A15" s="3" t="s">
        <v>21</v>
      </c>
      <c r="B15" s="5">
        <v>85</v>
      </c>
      <c r="C15" s="4">
        <v>8</v>
      </c>
      <c r="D15">
        <v>-0.5</v>
      </c>
    </row>
    <row r="16" spans="1:8">
      <c r="A16" s="3" t="s">
        <v>22</v>
      </c>
      <c r="B16" s="5">
        <v>135</v>
      </c>
      <c r="C16" s="4">
        <v>1</v>
      </c>
      <c r="D16">
        <v>-0.5</v>
      </c>
    </row>
    <row r="17" spans="1:4">
      <c r="A17" s="3" t="s">
        <v>23</v>
      </c>
      <c r="B17" s="5">
        <v>110</v>
      </c>
      <c r="C17" s="4">
        <v>1</v>
      </c>
      <c r="D17">
        <v>-0.5</v>
      </c>
    </row>
    <row r="18" spans="1:4">
      <c r="A18" s="3" t="s">
        <v>24</v>
      </c>
      <c r="B18" s="5">
        <v>85</v>
      </c>
      <c r="C18" s="4">
        <v>5</v>
      </c>
      <c r="D18">
        <v>-0.5</v>
      </c>
    </row>
    <row r="19" spans="1:4">
      <c r="A19" s="3" t="s">
        <v>25</v>
      </c>
      <c r="B19" s="5">
        <v>85</v>
      </c>
      <c r="C19" s="4">
        <v>30</v>
      </c>
      <c r="D19">
        <v>-0.5</v>
      </c>
    </row>
    <row r="20" spans="1:4">
      <c r="A20" s="3" t="s">
        <v>26</v>
      </c>
      <c r="B20" s="5">
        <v>85</v>
      </c>
      <c r="C20" s="4">
        <v>8</v>
      </c>
      <c r="D20">
        <v>-0.5</v>
      </c>
    </row>
    <row r="21" spans="1:4">
      <c r="A21" s="3" t="s">
        <v>27</v>
      </c>
      <c r="B21" s="5">
        <v>85</v>
      </c>
      <c r="C21" s="4">
        <v>3</v>
      </c>
      <c r="D21">
        <v>-0.5</v>
      </c>
    </row>
    <row r="22" spans="1:4">
      <c r="A22" s="3" t="s">
        <v>28</v>
      </c>
      <c r="B22" s="5">
        <v>70</v>
      </c>
      <c r="C22" s="4">
        <v>16</v>
      </c>
      <c r="D22">
        <v>-0.5</v>
      </c>
    </row>
    <row r="23" spans="1:4">
      <c r="A23" s="3" t="s">
        <v>29</v>
      </c>
      <c r="B23" s="5">
        <v>85</v>
      </c>
      <c r="C23" s="4">
        <v>31</v>
      </c>
      <c r="D23">
        <v>-0.5</v>
      </c>
    </row>
    <row r="24" spans="1:4" ht="23.1">
      <c r="A24" s="3" t="s">
        <v>30</v>
      </c>
      <c r="B24" s="5">
        <v>85</v>
      </c>
      <c r="C24" s="4">
        <v>1</v>
      </c>
      <c r="D24">
        <v>-0.5</v>
      </c>
    </row>
    <row r="25" spans="1:4">
      <c r="A25" s="3" t="s">
        <v>31</v>
      </c>
      <c r="B25" s="5">
        <v>85</v>
      </c>
      <c r="C25" s="4">
        <v>1</v>
      </c>
      <c r="D25">
        <v>-0.5</v>
      </c>
    </row>
    <row r="26" spans="1:4">
      <c r="A26" s="3" t="s">
        <v>32</v>
      </c>
      <c r="B26" s="5">
        <v>85</v>
      </c>
      <c r="C26" s="4">
        <v>7</v>
      </c>
      <c r="D26">
        <v>-0.5</v>
      </c>
    </row>
    <row r="27" spans="1:4">
      <c r="A27" s="3" t="s">
        <v>33</v>
      </c>
      <c r="B27" s="5">
        <v>85</v>
      </c>
      <c r="C27" s="4">
        <v>33</v>
      </c>
      <c r="D27">
        <v>-0.5</v>
      </c>
    </row>
    <row r="28" spans="1:4">
      <c r="A28" s="3" t="s">
        <v>34</v>
      </c>
      <c r="B28" s="5">
        <v>285</v>
      </c>
      <c r="C28" s="4">
        <v>25</v>
      </c>
      <c r="D28">
        <v>-0.5</v>
      </c>
    </row>
    <row r="29" spans="1:4">
      <c r="A29" s="3" t="s">
        <v>35</v>
      </c>
      <c r="B29" s="5">
        <v>0</v>
      </c>
      <c r="C29" s="4">
        <v>4</v>
      </c>
      <c r="D29">
        <v>-0.5</v>
      </c>
    </row>
    <row r="30" spans="1:4">
      <c r="A30" s="3" t="s">
        <v>36</v>
      </c>
      <c r="B30" s="5">
        <v>285</v>
      </c>
      <c r="C30" s="4">
        <v>76</v>
      </c>
      <c r="D30">
        <v>-0.5</v>
      </c>
    </row>
    <row r="31" spans="1:4">
      <c r="A31" s="3" t="s">
        <v>37</v>
      </c>
      <c r="B31" s="5">
        <v>135</v>
      </c>
      <c r="C31" s="4">
        <v>9</v>
      </c>
      <c r="D31">
        <v>-0.5</v>
      </c>
    </row>
    <row r="32" spans="1:4">
      <c r="A32" s="3" t="s">
        <v>38</v>
      </c>
      <c r="B32" s="5">
        <v>135</v>
      </c>
      <c r="C32" s="4">
        <v>77</v>
      </c>
      <c r="D32">
        <v>-0.5</v>
      </c>
    </row>
    <row r="33" spans="1:4">
      <c r="A33" s="3" t="s">
        <v>39</v>
      </c>
      <c r="B33" s="5">
        <v>135</v>
      </c>
      <c r="C33" s="4">
        <v>47</v>
      </c>
      <c r="D33">
        <v>-0.5</v>
      </c>
    </row>
    <row r="34" spans="1:4">
      <c r="A34" s="3" t="s">
        <v>40</v>
      </c>
      <c r="B34" s="5">
        <v>135</v>
      </c>
      <c r="C34" s="4">
        <v>60</v>
      </c>
      <c r="D34">
        <v>-0.5</v>
      </c>
    </row>
    <row r="35" spans="1:4">
      <c r="A35" s="3" t="s">
        <v>41</v>
      </c>
      <c r="B35" s="5">
        <v>135</v>
      </c>
      <c r="C35" s="4">
        <v>40</v>
      </c>
      <c r="D35">
        <v>-0.5</v>
      </c>
    </row>
    <row r="36" spans="1:4">
      <c r="A36" s="3" t="s">
        <v>42</v>
      </c>
      <c r="B36" s="5">
        <v>135</v>
      </c>
      <c r="C36" s="4">
        <v>103</v>
      </c>
      <c r="D36">
        <v>-0.5</v>
      </c>
    </row>
    <row r="37" spans="1:4">
      <c r="A37" s="3" t="s">
        <v>43</v>
      </c>
      <c r="B37" s="5">
        <v>135</v>
      </c>
      <c r="C37" s="4">
        <v>84</v>
      </c>
      <c r="D37">
        <v>-0.5</v>
      </c>
    </row>
    <row r="38" spans="1:4">
      <c r="A38" s="3" t="s">
        <v>44</v>
      </c>
      <c r="B38" s="5">
        <v>135</v>
      </c>
      <c r="C38" s="4">
        <v>61</v>
      </c>
      <c r="D38">
        <v>-0.5</v>
      </c>
    </row>
    <row r="39" spans="1:4">
      <c r="A39" s="3" t="s">
        <v>45</v>
      </c>
      <c r="B39" s="5">
        <v>135</v>
      </c>
      <c r="C39" s="4">
        <v>32</v>
      </c>
      <c r="D39">
        <v>-0.5</v>
      </c>
    </row>
    <row r="40" spans="1:4">
      <c r="A40" s="3" t="s">
        <v>46</v>
      </c>
      <c r="B40" s="5">
        <v>135</v>
      </c>
      <c r="C40" s="4">
        <v>39</v>
      </c>
      <c r="D40">
        <v>-0.5</v>
      </c>
    </row>
    <row r="41" spans="1:4">
      <c r="A41" s="3" t="s">
        <v>47</v>
      </c>
      <c r="B41" s="5">
        <v>135</v>
      </c>
      <c r="C41" s="4">
        <v>24</v>
      </c>
      <c r="D41">
        <v>-0.5</v>
      </c>
    </row>
    <row r="42" spans="1:4">
      <c r="A42" s="3" t="s">
        <v>48</v>
      </c>
      <c r="B42" s="5">
        <v>135</v>
      </c>
      <c r="C42" s="4">
        <v>46</v>
      </c>
      <c r="D42">
        <v>-0.5</v>
      </c>
    </row>
    <row r="43" spans="1:4">
      <c r="A43" s="3" t="s">
        <v>49</v>
      </c>
      <c r="B43" s="5">
        <v>135</v>
      </c>
      <c r="C43" s="4">
        <v>64</v>
      </c>
      <c r="D43">
        <v>-0.5</v>
      </c>
    </row>
    <row r="44" spans="1:4" ht="23.1">
      <c r="A44" s="3" t="s">
        <v>50</v>
      </c>
      <c r="B44" s="5">
        <v>45</v>
      </c>
      <c r="C44" s="4">
        <v>11</v>
      </c>
      <c r="D44">
        <v>-0.5</v>
      </c>
    </row>
    <row r="45" spans="1:4">
      <c r="A45" s="3" t="s">
        <v>51</v>
      </c>
      <c r="B45" s="5">
        <v>75</v>
      </c>
      <c r="C45" s="4">
        <v>26</v>
      </c>
      <c r="D45">
        <v>-0.5</v>
      </c>
    </row>
    <row r="46" spans="1:4">
      <c r="A46" s="3" t="s">
        <v>52</v>
      </c>
      <c r="B46" s="5">
        <v>85</v>
      </c>
      <c r="C46" s="4">
        <v>4</v>
      </c>
      <c r="D46">
        <v>-0.5</v>
      </c>
    </row>
    <row r="47" spans="1:4">
      <c r="A47" s="3" t="s">
        <v>53</v>
      </c>
      <c r="B47" s="5">
        <v>85</v>
      </c>
      <c r="C47" s="4">
        <v>1</v>
      </c>
      <c r="D47">
        <v>-0.5</v>
      </c>
    </row>
    <row r="48" spans="1:4">
      <c r="A48" s="3" t="s">
        <v>54</v>
      </c>
      <c r="B48" s="5">
        <v>0</v>
      </c>
      <c r="C48" s="4">
        <v>120</v>
      </c>
      <c r="D48">
        <v>-0.5</v>
      </c>
    </row>
    <row r="49" spans="1:4">
      <c r="A49" s="3" t="s">
        <v>55</v>
      </c>
      <c r="B49" s="5">
        <v>135</v>
      </c>
      <c r="C49" s="4">
        <v>44</v>
      </c>
      <c r="D49">
        <v>-0.5</v>
      </c>
    </row>
    <row r="50" spans="1:4">
      <c r="A50" s="3" t="s">
        <v>56</v>
      </c>
      <c r="B50" s="5">
        <v>85</v>
      </c>
      <c r="C50" s="4">
        <v>22</v>
      </c>
      <c r="D50">
        <v>-0.5</v>
      </c>
    </row>
    <row r="51" spans="1:4">
      <c r="A51" s="3" t="s">
        <v>57</v>
      </c>
      <c r="B51" s="5">
        <v>285</v>
      </c>
      <c r="C51" s="4">
        <v>105</v>
      </c>
      <c r="D51">
        <v>-0.5</v>
      </c>
    </row>
    <row r="52" spans="1:4">
      <c r="A52" s="3" t="s">
        <v>58</v>
      </c>
      <c r="B52" s="5">
        <v>135</v>
      </c>
      <c r="C52" s="4">
        <v>82</v>
      </c>
      <c r="D52">
        <v>-0.5</v>
      </c>
    </row>
    <row r="53" spans="1:4">
      <c r="A53" s="3" t="s">
        <v>59</v>
      </c>
      <c r="B53" s="5">
        <v>285</v>
      </c>
      <c r="C53" s="4">
        <v>76</v>
      </c>
      <c r="D53">
        <v>-0.5</v>
      </c>
    </row>
    <row r="54" spans="1:4">
      <c r="A54" s="3" t="s">
        <v>60</v>
      </c>
      <c r="B54" s="5">
        <v>135</v>
      </c>
      <c r="C54" s="4">
        <v>62</v>
      </c>
      <c r="D54">
        <v>-0.5</v>
      </c>
    </row>
    <row r="55" spans="1:4">
      <c r="A55" s="3" t="s">
        <v>61</v>
      </c>
      <c r="B55" s="5">
        <v>135</v>
      </c>
      <c r="C55" s="4">
        <v>41</v>
      </c>
      <c r="D55">
        <v>-0.5</v>
      </c>
    </row>
    <row r="56" spans="1:4">
      <c r="A56" s="3" t="s">
        <v>62</v>
      </c>
      <c r="B56" s="5">
        <v>135</v>
      </c>
      <c r="C56" s="4">
        <v>36</v>
      </c>
      <c r="D56">
        <v>-0.5</v>
      </c>
    </row>
    <row r="57" spans="1:4">
      <c r="A57" s="3" t="s">
        <v>63</v>
      </c>
      <c r="B57" s="5">
        <v>110</v>
      </c>
      <c r="C57" s="4">
        <v>24</v>
      </c>
      <c r="D57">
        <v>-0.5</v>
      </c>
    </row>
    <row r="58" spans="1:4">
      <c r="A58" s="3" t="s">
        <v>64</v>
      </c>
      <c r="B58" s="5">
        <v>85</v>
      </c>
      <c r="C58" s="4">
        <v>2</v>
      </c>
      <c r="D58">
        <v>-0.5</v>
      </c>
    </row>
    <row r="59" spans="1:4">
      <c r="A59" s="3" t="s">
        <v>65</v>
      </c>
      <c r="B59" s="5">
        <v>45</v>
      </c>
      <c r="C59" s="4">
        <v>4</v>
      </c>
      <c r="D59">
        <v>-0.5</v>
      </c>
    </row>
    <row r="60" spans="1:4">
      <c r="A60" s="3" t="s">
        <v>66</v>
      </c>
      <c r="B60" s="5">
        <v>45</v>
      </c>
      <c r="C60" s="4">
        <v>2</v>
      </c>
      <c r="D60">
        <v>-0.5</v>
      </c>
    </row>
    <row r="61" spans="1:4">
      <c r="A61" s="3" t="s">
        <v>67</v>
      </c>
      <c r="B61" s="5">
        <v>45</v>
      </c>
      <c r="C61" s="4">
        <v>1</v>
      </c>
      <c r="D61">
        <v>-0.5</v>
      </c>
    </row>
    <row r="62" spans="1:4">
      <c r="A62" s="3" t="s">
        <v>68</v>
      </c>
      <c r="B62" s="5">
        <v>45</v>
      </c>
      <c r="C62" s="4">
        <v>4</v>
      </c>
      <c r="D62">
        <v>-0.5</v>
      </c>
    </row>
    <row r="63" spans="1:4">
      <c r="A63" s="3" t="s">
        <v>69</v>
      </c>
      <c r="B63" s="5">
        <v>85</v>
      </c>
      <c r="C63" s="4">
        <v>2</v>
      </c>
      <c r="D63">
        <v>-0.5</v>
      </c>
    </row>
    <row r="64" spans="1:4">
      <c r="A64" s="3" t="s">
        <v>70</v>
      </c>
      <c r="B64" s="5">
        <v>85</v>
      </c>
      <c r="C64" s="4">
        <v>40</v>
      </c>
      <c r="D64">
        <v>-0.5</v>
      </c>
    </row>
    <row r="65" spans="1:4">
      <c r="A65" s="3" t="s">
        <v>71</v>
      </c>
      <c r="B65" s="5">
        <v>110</v>
      </c>
      <c r="C65" s="4">
        <v>74</v>
      </c>
      <c r="D65">
        <v>-0.5</v>
      </c>
    </row>
    <row r="66" spans="1:4">
      <c r="A66" s="3" t="s">
        <v>72</v>
      </c>
      <c r="B66" s="5">
        <v>85</v>
      </c>
      <c r="C66" s="4">
        <v>30</v>
      </c>
      <c r="D66">
        <v>-0.5</v>
      </c>
    </row>
    <row r="67" spans="1:4">
      <c r="A67" s="3" t="s">
        <v>73</v>
      </c>
      <c r="B67" s="5">
        <v>75</v>
      </c>
      <c r="C67" s="4">
        <v>10</v>
      </c>
      <c r="D67">
        <v>-0.5</v>
      </c>
    </row>
    <row r="68" spans="1:4">
      <c r="A68" s="3" t="s">
        <v>74</v>
      </c>
      <c r="B68" s="5">
        <v>75</v>
      </c>
      <c r="C68" s="4">
        <v>4</v>
      </c>
      <c r="D68">
        <v>-0.5</v>
      </c>
    </row>
    <row r="69" spans="1:4">
      <c r="A69" s="3" t="s">
        <v>75</v>
      </c>
      <c r="B69" s="5">
        <v>110</v>
      </c>
      <c r="C69" s="4">
        <v>22</v>
      </c>
      <c r="D69">
        <v>-0.5</v>
      </c>
    </row>
    <row r="70" spans="1:4">
      <c r="A70" s="3" t="s">
        <v>76</v>
      </c>
      <c r="B70" s="5">
        <v>135</v>
      </c>
      <c r="C70" s="4">
        <v>44</v>
      </c>
      <c r="D70">
        <v>-0.5</v>
      </c>
    </row>
    <row r="71" spans="1:4">
      <c r="A71" s="3" t="s">
        <v>77</v>
      </c>
      <c r="B71" s="5">
        <v>110</v>
      </c>
      <c r="C71" s="4">
        <v>39</v>
      </c>
      <c r="D71">
        <v>-0.5</v>
      </c>
    </row>
    <row r="72" spans="1:4">
      <c r="A72" s="3" t="s">
        <v>78</v>
      </c>
      <c r="B72" s="5">
        <v>135</v>
      </c>
      <c r="C72" s="4">
        <v>35</v>
      </c>
      <c r="D72">
        <v>-0.5</v>
      </c>
    </row>
    <row r="73" spans="1:4">
      <c r="A73" s="3" t="s">
        <v>79</v>
      </c>
      <c r="B73" s="5">
        <v>110</v>
      </c>
      <c r="C73" s="4">
        <v>8</v>
      </c>
      <c r="D73">
        <v>-0.5</v>
      </c>
    </row>
    <row r="74" spans="1:4">
      <c r="A74" s="3" t="s">
        <v>80</v>
      </c>
      <c r="B74" s="5">
        <v>110</v>
      </c>
      <c r="C74" s="4">
        <v>6</v>
      </c>
      <c r="D74">
        <v>-0.5</v>
      </c>
    </row>
    <row r="75" spans="1:4">
      <c r="A75" s="3" t="s">
        <v>81</v>
      </c>
      <c r="B75" s="5">
        <v>110</v>
      </c>
      <c r="C75" s="4">
        <v>25</v>
      </c>
      <c r="D75">
        <v>-0.5</v>
      </c>
    </row>
    <row r="76" spans="1:4">
      <c r="A76" s="3" t="s">
        <v>82</v>
      </c>
      <c r="B76" s="5">
        <v>135</v>
      </c>
      <c r="C76" s="4">
        <v>3</v>
      </c>
      <c r="D76">
        <v>-0.5</v>
      </c>
    </row>
    <row r="77" spans="1:4">
      <c r="A77" s="3" t="s">
        <v>83</v>
      </c>
      <c r="B77" s="5">
        <v>110</v>
      </c>
      <c r="C77" s="4">
        <v>14</v>
      </c>
      <c r="D77">
        <v>-0.5</v>
      </c>
    </row>
    <row r="78" spans="1:4">
      <c r="A78" s="3" t="s">
        <v>84</v>
      </c>
      <c r="B78" s="5">
        <v>110</v>
      </c>
      <c r="C78" s="4">
        <v>6</v>
      </c>
      <c r="D78">
        <v>-0.5</v>
      </c>
    </row>
    <row r="79" spans="1:4">
      <c r="A79" s="3" t="s">
        <v>85</v>
      </c>
      <c r="B79" s="5">
        <v>110</v>
      </c>
      <c r="C79" s="4">
        <v>16</v>
      </c>
      <c r="D79">
        <v>-0.5</v>
      </c>
    </row>
    <row r="80" spans="1:4">
      <c r="A80" s="3" t="s">
        <v>86</v>
      </c>
      <c r="B80" s="5">
        <v>135</v>
      </c>
      <c r="C80" s="4">
        <v>2</v>
      </c>
      <c r="D80">
        <v>-0.5</v>
      </c>
    </row>
    <row r="81" spans="1:4">
      <c r="A81" s="3" t="s">
        <v>87</v>
      </c>
      <c r="B81" s="5">
        <v>135</v>
      </c>
      <c r="C81" s="4">
        <v>1</v>
      </c>
      <c r="D81">
        <v>-0.5</v>
      </c>
    </row>
    <row r="82" spans="1:4">
      <c r="A82" s="3" t="s">
        <v>88</v>
      </c>
      <c r="B82" s="5">
        <v>135</v>
      </c>
      <c r="C82" s="4">
        <v>88</v>
      </c>
      <c r="D82">
        <v>-0.5</v>
      </c>
    </row>
    <row r="83" spans="1:4">
      <c r="A83" s="3" t="s">
        <v>89</v>
      </c>
      <c r="B83" s="5">
        <v>135</v>
      </c>
      <c r="C83" s="4">
        <v>40</v>
      </c>
      <c r="D83">
        <v>-0.5</v>
      </c>
    </row>
    <row r="84" spans="1:4">
      <c r="A84" s="3" t="s">
        <v>90</v>
      </c>
      <c r="B84" s="5">
        <v>135</v>
      </c>
      <c r="C84" s="4">
        <v>27</v>
      </c>
      <c r="D84">
        <v>-0.5</v>
      </c>
    </row>
    <row r="85" spans="1:4">
      <c r="A85" s="3" t="s">
        <v>91</v>
      </c>
      <c r="B85" s="5">
        <v>135</v>
      </c>
      <c r="C85" s="4">
        <v>19</v>
      </c>
      <c r="D85">
        <v>-0.5</v>
      </c>
    </row>
    <row r="86" spans="1:4">
      <c r="A86" s="3" t="s">
        <v>92</v>
      </c>
      <c r="B86" s="5">
        <v>110</v>
      </c>
      <c r="C86" s="4">
        <v>43</v>
      </c>
      <c r="D86">
        <v>-0.5</v>
      </c>
    </row>
    <row r="87" spans="1:4">
      <c r="A87" s="3" t="s">
        <v>93</v>
      </c>
      <c r="B87" s="5">
        <v>285</v>
      </c>
      <c r="C87" s="4">
        <v>175</v>
      </c>
      <c r="D87">
        <v>-0.5</v>
      </c>
    </row>
    <row r="88" spans="1:4">
      <c r="A88" s="3" t="s">
        <v>94</v>
      </c>
      <c r="B88" s="5">
        <v>135</v>
      </c>
      <c r="C88" s="4">
        <v>26</v>
      </c>
      <c r="D88">
        <v>-0.5</v>
      </c>
    </row>
    <row r="89" spans="1:4">
      <c r="A89" s="3" t="s">
        <v>95</v>
      </c>
      <c r="B89" s="5">
        <v>110</v>
      </c>
      <c r="C89" s="4">
        <v>12</v>
      </c>
      <c r="D89">
        <v>-0.5</v>
      </c>
    </row>
    <row r="90" spans="1:4">
      <c r="A90" s="3" t="s">
        <v>96</v>
      </c>
      <c r="B90" s="5">
        <v>135</v>
      </c>
      <c r="C90" s="4">
        <v>24</v>
      </c>
      <c r="D90">
        <v>-0.5</v>
      </c>
    </row>
    <row r="91" spans="1:4">
      <c r="A91" s="3" t="s">
        <v>97</v>
      </c>
      <c r="B91" s="5">
        <v>85</v>
      </c>
      <c r="C91" s="4">
        <v>11</v>
      </c>
      <c r="D91">
        <v>-0.5</v>
      </c>
    </row>
    <row r="92" spans="1:4">
      <c r="A92" s="3" t="s">
        <v>98</v>
      </c>
      <c r="B92" s="5">
        <v>120</v>
      </c>
      <c r="C92" s="4">
        <v>14</v>
      </c>
      <c r="D92">
        <v>-0.5</v>
      </c>
    </row>
    <row r="93" spans="1:4">
      <c r="A93" s="3" t="s">
        <v>99</v>
      </c>
      <c r="B93" s="5">
        <v>70</v>
      </c>
      <c r="C93" s="4">
        <v>7</v>
      </c>
      <c r="D93">
        <v>-0.5</v>
      </c>
    </row>
    <row r="94" spans="1:4">
      <c r="A94" s="3" t="s">
        <v>100</v>
      </c>
      <c r="B94" s="5">
        <v>135</v>
      </c>
      <c r="C94" s="4">
        <v>40</v>
      </c>
      <c r="D94">
        <v>-0.5</v>
      </c>
    </row>
    <row r="95" spans="1:4">
      <c r="A95" s="3" t="s">
        <v>101</v>
      </c>
      <c r="B95" s="5">
        <v>135</v>
      </c>
      <c r="C95" s="4">
        <v>46</v>
      </c>
      <c r="D95">
        <v>-0.5</v>
      </c>
    </row>
    <row r="96" spans="1:4">
      <c r="A96" s="3" t="s">
        <v>102</v>
      </c>
      <c r="B96" s="5">
        <v>135</v>
      </c>
      <c r="C96" s="4">
        <v>59</v>
      </c>
      <c r="D96">
        <v>-0.5</v>
      </c>
    </row>
    <row r="97" spans="1:4">
      <c r="A97" s="3" t="s">
        <v>103</v>
      </c>
      <c r="B97" s="5">
        <v>135</v>
      </c>
      <c r="C97" s="4">
        <v>51</v>
      </c>
      <c r="D97">
        <v>-0.5</v>
      </c>
    </row>
    <row r="98" spans="1:4">
      <c r="A98" s="3" t="s">
        <v>104</v>
      </c>
      <c r="B98" s="5">
        <v>135</v>
      </c>
      <c r="C98" s="4">
        <v>43</v>
      </c>
      <c r="D98">
        <v>-0.5</v>
      </c>
    </row>
    <row r="99" spans="1:4">
      <c r="A99" s="3" t="s">
        <v>105</v>
      </c>
      <c r="B99" s="5">
        <v>135</v>
      </c>
      <c r="C99" s="4">
        <v>43</v>
      </c>
      <c r="D99">
        <v>-0.5</v>
      </c>
    </row>
    <row r="100" spans="1:4">
      <c r="A100" s="3" t="s">
        <v>106</v>
      </c>
      <c r="B100" s="5">
        <v>135</v>
      </c>
      <c r="C100" s="4">
        <v>13</v>
      </c>
      <c r="D100">
        <v>-0.5</v>
      </c>
    </row>
    <row r="101" spans="1:4">
      <c r="A101" s="3" t="s">
        <v>107</v>
      </c>
      <c r="B101" s="5">
        <v>0</v>
      </c>
      <c r="C101" s="4">
        <v>1</v>
      </c>
      <c r="D101">
        <v>-0.5</v>
      </c>
    </row>
    <row r="102" spans="1:4">
      <c r="A102" s="3" t="s">
        <v>108</v>
      </c>
      <c r="B102" s="5">
        <v>110</v>
      </c>
      <c r="C102" s="4">
        <v>10</v>
      </c>
      <c r="D102">
        <v>-0.5</v>
      </c>
    </row>
    <row r="103" spans="1:4">
      <c r="A103" s="3" t="s">
        <v>109</v>
      </c>
      <c r="B103" s="5">
        <v>45</v>
      </c>
      <c r="C103" s="4">
        <v>12</v>
      </c>
      <c r="D103">
        <v>-0.5</v>
      </c>
    </row>
    <row r="104" spans="1:4">
      <c r="A104" s="3" t="s">
        <v>110</v>
      </c>
      <c r="B104" s="5">
        <v>85</v>
      </c>
      <c r="C104" s="4">
        <v>23</v>
      </c>
      <c r="D104">
        <v>-0.5</v>
      </c>
    </row>
    <row r="105" spans="1:4">
      <c r="A105" s="3" t="s">
        <v>111</v>
      </c>
      <c r="B105" s="5">
        <v>75</v>
      </c>
      <c r="C105" s="4">
        <v>18</v>
      </c>
      <c r="D105">
        <v>-0.5</v>
      </c>
    </row>
    <row r="106" spans="1:4">
      <c r="A106" s="3" t="s">
        <v>112</v>
      </c>
      <c r="B106" s="5">
        <v>100</v>
      </c>
      <c r="C106" s="4">
        <v>9</v>
      </c>
      <c r="D106">
        <v>-0.5</v>
      </c>
    </row>
    <row r="107" spans="1:4">
      <c r="A107" s="3" t="s">
        <v>113</v>
      </c>
      <c r="B107" s="5">
        <v>110</v>
      </c>
      <c r="C107" s="4">
        <v>13</v>
      </c>
      <c r="D107">
        <v>-0.5</v>
      </c>
    </row>
    <row r="108" spans="1:4">
      <c r="A108" s="3" t="s">
        <v>114</v>
      </c>
      <c r="B108" s="5">
        <v>110</v>
      </c>
      <c r="C108" s="4">
        <v>5</v>
      </c>
      <c r="D108">
        <v>-0.5</v>
      </c>
    </row>
    <row r="109" spans="1:4">
      <c r="A109" s="3" t="s">
        <v>115</v>
      </c>
      <c r="B109" s="5">
        <v>110</v>
      </c>
      <c r="C109" s="4">
        <v>8</v>
      </c>
      <c r="D109">
        <v>-0.5</v>
      </c>
    </row>
    <row r="110" spans="1:4">
      <c r="A110" s="3" t="s">
        <v>116</v>
      </c>
      <c r="B110" s="5">
        <v>110</v>
      </c>
      <c r="C110" s="4">
        <v>11</v>
      </c>
      <c r="D110">
        <v>-0.5</v>
      </c>
    </row>
    <row r="111" spans="1:4">
      <c r="A111" s="3" t="s">
        <v>117</v>
      </c>
      <c r="B111" s="5">
        <v>85</v>
      </c>
      <c r="C111" s="4">
        <v>8</v>
      </c>
      <c r="D111">
        <v>-0.5</v>
      </c>
    </row>
    <row r="112" spans="1:4">
      <c r="A112" s="3" t="s">
        <v>118</v>
      </c>
      <c r="B112" s="5">
        <v>85</v>
      </c>
      <c r="C112" s="4">
        <v>24</v>
      </c>
      <c r="D112">
        <v>-0.5</v>
      </c>
    </row>
    <row r="113" spans="1:4">
      <c r="A113" s="3" t="s">
        <v>119</v>
      </c>
      <c r="B113" s="5">
        <v>85</v>
      </c>
      <c r="C113" s="4">
        <v>5</v>
      </c>
      <c r="D113">
        <v>-0.5</v>
      </c>
    </row>
    <row r="114" spans="1:4">
      <c r="A114" s="3" t="s">
        <v>120</v>
      </c>
      <c r="B114" s="5">
        <v>85</v>
      </c>
      <c r="C114" s="4">
        <v>8</v>
      </c>
      <c r="D114">
        <v>-0.5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7"/>
  <sheetViews>
    <sheetView workbookViewId="0">
      <selection activeCell="J116" sqref="J116"/>
    </sheetView>
  </sheetViews>
  <sheetFormatPr defaultRowHeight="15" customHeight="1"/>
  <cols>
    <col min="1" max="1" width="34" customWidth="1"/>
    <col min="2" max="4" width="16" customWidth="1"/>
    <col min="5" max="5" width="18.140625" hidden="1" customWidth="1"/>
    <col min="6" max="6" width="22" hidden="1" customWidth="1"/>
    <col min="7" max="7" width="25.7109375" bestFit="1" customWidth="1"/>
    <col min="8" max="8" width="20" customWidth="1"/>
    <col min="9" max="9" width="18" customWidth="1"/>
    <col min="10" max="10" width="20.42578125" bestFit="1" customWidth="1"/>
    <col min="11" max="11" width="18" hidden="1" customWidth="1"/>
    <col min="12" max="12" width="20" hidden="1" customWidth="1"/>
    <col min="13" max="13" width="14" customWidth="1"/>
    <col min="14" max="14" width="14" style="12" customWidth="1"/>
    <col min="15" max="16" width="25.85546875" customWidth="1"/>
    <col min="17" max="17" width="14" customWidth="1"/>
    <col min="18" max="18" width="22.42578125" bestFit="1" customWidth="1"/>
    <col min="19" max="19" width="31.5703125" customWidth="1"/>
    <col min="22" max="22" width="4.85546875" customWidth="1"/>
    <col min="23" max="23" width="8.7109375" customWidth="1"/>
  </cols>
  <sheetData>
    <row r="1" spans="1:24">
      <c r="A1" s="1" t="s">
        <v>0</v>
      </c>
      <c r="B1" s="1" t="s">
        <v>121</v>
      </c>
      <c r="C1" s="1" t="s">
        <v>122</v>
      </c>
      <c r="D1" s="1" t="s">
        <v>3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8" t="s">
        <v>131</v>
      </c>
      <c r="N1" s="11"/>
      <c r="O1" s="8" t="s">
        <v>132</v>
      </c>
      <c r="P1" s="8" t="s">
        <v>133</v>
      </c>
      <c r="Q1" s="8" t="s">
        <v>134</v>
      </c>
      <c r="R1" s="8" t="s">
        <v>135</v>
      </c>
      <c r="S1" s="8" t="s">
        <v>136</v>
      </c>
      <c r="T1" t="s">
        <v>137</v>
      </c>
      <c r="V1" t="s">
        <v>138</v>
      </c>
      <c r="W1" t="s">
        <v>139</v>
      </c>
      <c r="X1" t="s">
        <v>140</v>
      </c>
    </row>
    <row r="2" spans="1:24" ht="18.75">
      <c r="A2" t="str">
        <f>Assumptions!A2</f>
        <v>Polin - Shelter</v>
      </c>
      <c r="B2">
        <f>Assumptions!B2</f>
        <v>45</v>
      </c>
      <c r="C2">
        <f>Assumptions!C2</f>
        <v>9</v>
      </c>
      <c r="D2">
        <f>Assumptions!D2</f>
        <v>-0.5</v>
      </c>
      <c r="E2">
        <f t="shared" ref="E2:E33" si="0">-1*D2*C2/B2</f>
        <v>0.1</v>
      </c>
      <c r="F2">
        <f t="shared" ref="F2:F33" si="1">C2+E2*B2</f>
        <v>13.5</v>
      </c>
      <c r="G2" s="6">
        <v>60</v>
      </c>
      <c r="H2" s="9">
        <f t="shared" ref="H2:H33" si="2">F2-E2*G2</f>
        <v>7.5</v>
      </c>
      <c r="I2">
        <f t="shared" ref="I2:I33" si="3">B2*C2</f>
        <v>405</v>
      </c>
      <c r="J2" s="7">
        <f t="shared" ref="J2:J33" si="4">G2*H2</f>
        <v>450</v>
      </c>
      <c r="K2">
        <f t="shared" ref="K2:K33" si="5">J2/I2-1</f>
        <v>0.11111111111111116</v>
      </c>
      <c r="L2">
        <f t="shared" ref="L2:L33" si="6">-1*E2*G2/H2</f>
        <v>-0.8</v>
      </c>
      <c r="M2">
        <f>Assumptions!D2</f>
        <v>-0.5</v>
      </c>
      <c r="O2">
        <f t="shared" ref="O2:O33" si="7">F2-E2*0</f>
        <v>13.5</v>
      </c>
      <c r="P2" s="9">
        <f t="shared" ref="P2:P33" si="8">F2-E2*Q2</f>
        <v>6.75</v>
      </c>
      <c r="Q2" s="10">
        <f t="shared" ref="Q2:Q33" si="9">V2/(W2*2)</f>
        <v>67.5</v>
      </c>
      <c r="R2" s="7">
        <f>P2*Q2</f>
        <v>455.625</v>
      </c>
      <c r="S2" s="7">
        <f>(Table3[[#This Row],[Proposed Revenue]]-I2)/(H2-C2)</f>
        <v>-30</v>
      </c>
      <c r="T2" s="13" t="s">
        <v>141</v>
      </c>
      <c r="V2">
        <f>C2+W2*(B2)</f>
        <v>13.5</v>
      </c>
      <c r="W2">
        <f t="shared" ref="W2:W33" si="10">ABS(M2)*(C2/B2)</f>
        <v>0.1</v>
      </c>
      <c r="X2">
        <f>B2</f>
        <v>45</v>
      </c>
    </row>
    <row r="3" spans="1:24">
      <c r="A3" t="str">
        <f>Assumptions!A3</f>
        <v>A. Ramsey - Shelter</v>
      </c>
      <c r="B3">
        <f>Assumptions!B3</f>
        <v>85</v>
      </c>
      <c r="C3">
        <f>Assumptions!C3</f>
        <v>44</v>
      </c>
      <c r="D3">
        <f>Assumptions!D3</f>
        <v>-0.5</v>
      </c>
      <c r="E3">
        <f t="shared" si="0"/>
        <v>0.25882352941176473</v>
      </c>
      <c r="F3">
        <f t="shared" si="1"/>
        <v>66</v>
      </c>
      <c r="G3" s="6">
        <v>100</v>
      </c>
      <c r="H3">
        <f t="shared" si="2"/>
        <v>40.117647058823522</v>
      </c>
      <c r="I3">
        <f t="shared" si="3"/>
        <v>3740</v>
      </c>
      <c r="J3">
        <f t="shared" si="4"/>
        <v>4011.7647058823522</v>
      </c>
      <c r="K3">
        <f t="shared" si="5"/>
        <v>7.2664359861591477E-2</v>
      </c>
      <c r="L3">
        <f t="shared" si="6"/>
        <v>-0.64516129032258085</v>
      </c>
      <c r="M3">
        <f>Assumptions!D3</f>
        <v>-0.5</v>
      </c>
      <c r="O3">
        <f t="shared" si="7"/>
        <v>66</v>
      </c>
      <c r="P3" s="9">
        <f t="shared" si="8"/>
        <v>33</v>
      </c>
      <c r="Q3" s="10">
        <f t="shared" si="9"/>
        <v>127.49999999999999</v>
      </c>
      <c r="R3" s="7">
        <f t="shared" ref="R3:R66" si="11">P3*Q3</f>
        <v>4207.4999999999991</v>
      </c>
      <c r="S3" s="7">
        <f>(Table3[[#This Row],[Proposed Revenue]]-I3)/(H3-C3)</f>
        <v>-69.999999999999687</v>
      </c>
      <c r="V3">
        <f>C3+W3*(B3)</f>
        <v>66</v>
      </c>
      <c r="W3">
        <f t="shared" si="10"/>
        <v>0.25882352941176473</v>
      </c>
      <c r="X3">
        <f>B3</f>
        <v>85</v>
      </c>
    </row>
    <row r="4" spans="1:24">
      <c r="A4" t="str">
        <f>Assumptions!A4</f>
        <v>Arsenal - Shelter</v>
      </c>
      <c r="B4">
        <f>Assumptions!B4</f>
        <v>85</v>
      </c>
      <c r="C4">
        <f>Assumptions!C4</f>
        <v>28</v>
      </c>
      <c r="D4">
        <f>Assumptions!D4</f>
        <v>-0.5</v>
      </c>
      <c r="E4">
        <f t="shared" si="0"/>
        <v>0.16470588235294117</v>
      </c>
      <c r="F4">
        <f t="shared" si="1"/>
        <v>42</v>
      </c>
      <c r="G4" s="6">
        <v>100</v>
      </c>
      <c r="H4">
        <f t="shared" si="2"/>
        <v>25.529411764705884</v>
      </c>
      <c r="I4">
        <f t="shared" si="3"/>
        <v>2380</v>
      </c>
      <c r="J4">
        <f t="shared" si="4"/>
        <v>2552.9411764705883</v>
      </c>
      <c r="K4">
        <f t="shared" si="5"/>
        <v>7.2664359861591699E-2</v>
      </c>
      <c r="L4">
        <f t="shared" si="6"/>
        <v>-0.64516129032258052</v>
      </c>
      <c r="M4">
        <f>Assumptions!D4</f>
        <v>-0.5</v>
      </c>
      <c r="O4">
        <f t="shared" si="7"/>
        <v>42</v>
      </c>
      <c r="P4" s="9">
        <f t="shared" si="8"/>
        <v>21</v>
      </c>
      <c r="Q4" s="10">
        <f t="shared" si="9"/>
        <v>127.5</v>
      </c>
      <c r="R4" s="7">
        <f t="shared" si="11"/>
        <v>2677.5</v>
      </c>
      <c r="S4" s="7">
        <f>(Table3[[#This Row],[Proposed Revenue]]-I4)/(H4-C4)</f>
        <v>-70.000000000000071</v>
      </c>
      <c r="V4">
        <f>C4+W4*(B4)</f>
        <v>42</v>
      </c>
      <c r="W4">
        <f t="shared" si="10"/>
        <v>0.16470588235294117</v>
      </c>
      <c r="X4">
        <f>B4</f>
        <v>85</v>
      </c>
    </row>
    <row r="5" spans="1:24">
      <c r="A5" t="str">
        <f>Assumptions!A5</f>
        <v>Babe Denny  -Shelter</v>
      </c>
      <c r="B5">
        <f>Assumptions!B5</f>
        <v>0</v>
      </c>
      <c r="C5">
        <f>Assumptions!C5</f>
        <v>2</v>
      </c>
      <c r="D5">
        <f>Assumptions!D5</f>
        <v>-0.5</v>
      </c>
      <c r="E5" t="e">
        <f t="shared" si="0"/>
        <v>#DIV/0!</v>
      </c>
      <c r="F5" t="e">
        <f t="shared" si="1"/>
        <v>#DIV/0!</v>
      </c>
      <c r="G5" s="6">
        <v>15</v>
      </c>
      <c r="H5" t="e">
        <f t="shared" si="2"/>
        <v>#DIV/0!</v>
      </c>
      <c r="I5">
        <f t="shared" si="3"/>
        <v>0</v>
      </c>
      <c r="J5" t="e">
        <f t="shared" si="4"/>
        <v>#DIV/0!</v>
      </c>
      <c r="K5" t="e">
        <f t="shared" si="5"/>
        <v>#DIV/0!</v>
      </c>
      <c r="L5" t="e">
        <f t="shared" si="6"/>
        <v>#DIV/0!</v>
      </c>
      <c r="M5">
        <f>Assumptions!D5</f>
        <v>-0.5</v>
      </c>
      <c r="O5" t="e">
        <f t="shared" si="7"/>
        <v>#DIV/0!</v>
      </c>
      <c r="P5" s="9" t="e">
        <f t="shared" si="8"/>
        <v>#DIV/0!</v>
      </c>
      <c r="Q5" s="10" t="e">
        <f t="shared" si="9"/>
        <v>#DIV/0!</v>
      </c>
      <c r="R5" s="7" t="e">
        <f t="shared" si="11"/>
        <v>#DIV/0!</v>
      </c>
      <c r="S5" s="7" t="e">
        <f>(Table3[[#This Row],[Proposed Revenue]]-I5)/(H5-C5)</f>
        <v>#DIV/0!</v>
      </c>
      <c r="V5" t="e">
        <f>C5+W5*(B5)</f>
        <v>#DIV/0!</v>
      </c>
      <c r="W5" t="e">
        <f t="shared" si="10"/>
        <v>#DIV/0!</v>
      </c>
      <c r="X5">
        <f>B5</f>
        <v>0</v>
      </c>
    </row>
    <row r="6" spans="1:24">
      <c r="A6" t="str">
        <f>Assumptions!A6</f>
        <v>Bel Aire - Shelter #1</v>
      </c>
      <c r="B6">
        <f>Assumptions!B6</f>
        <v>85</v>
      </c>
      <c r="C6">
        <f>Assumptions!C6</f>
        <v>33</v>
      </c>
      <c r="D6">
        <f>Assumptions!D6</f>
        <v>-0.5</v>
      </c>
      <c r="E6">
        <f t="shared" si="0"/>
        <v>0.19411764705882353</v>
      </c>
      <c r="F6">
        <f t="shared" si="1"/>
        <v>49.5</v>
      </c>
      <c r="G6" s="6">
        <v>100</v>
      </c>
      <c r="H6">
        <f t="shared" si="2"/>
        <v>30.088235294117645</v>
      </c>
      <c r="I6">
        <f t="shared" si="3"/>
        <v>2805</v>
      </c>
      <c r="J6">
        <f t="shared" si="4"/>
        <v>3008.8235294117644</v>
      </c>
      <c r="K6">
        <f t="shared" si="5"/>
        <v>7.2664359861591699E-2</v>
      </c>
      <c r="L6">
        <f t="shared" si="6"/>
        <v>-0.64516129032258074</v>
      </c>
      <c r="M6">
        <f>Assumptions!D6</f>
        <v>-0.5</v>
      </c>
      <c r="O6">
        <f t="shared" si="7"/>
        <v>49.5</v>
      </c>
      <c r="P6" s="9">
        <f t="shared" si="8"/>
        <v>24.75</v>
      </c>
      <c r="Q6" s="10">
        <f t="shared" si="9"/>
        <v>127.5</v>
      </c>
      <c r="R6" s="7">
        <f t="shared" si="11"/>
        <v>3155.625</v>
      </c>
      <c r="S6" s="7">
        <f>(Table3[[#This Row],[Proposed Revenue]]-I6)/(H6-C6)</f>
        <v>-69.999999999999844</v>
      </c>
      <c r="V6">
        <f>C6+W6*(B6)</f>
        <v>49.5</v>
      </c>
      <c r="W6">
        <f t="shared" si="10"/>
        <v>0.19411764705882353</v>
      </c>
      <c r="X6">
        <f t="shared" ref="X6:X69" si="12">B6</f>
        <v>85</v>
      </c>
    </row>
    <row r="7" spans="1:24">
      <c r="A7" t="str">
        <f>Assumptions!A7</f>
        <v>Bel Aire - Shelter #2/Pavilion</v>
      </c>
      <c r="B7">
        <f>Assumptions!B7</f>
        <v>85</v>
      </c>
      <c r="C7">
        <f>Assumptions!C7</f>
        <v>2</v>
      </c>
      <c r="D7">
        <f>Assumptions!D7</f>
        <v>-0.5</v>
      </c>
      <c r="E7">
        <f t="shared" si="0"/>
        <v>1.1764705882352941E-2</v>
      </c>
      <c r="F7">
        <f t="shared" si="1"/>
        <v>3</v>
      </c>
      <c r="G7" s="6">
        <v>100</v>
      </c>
      <c r="H7">
        <f t="shared" si="2"/>
        <v>1.8235294117647058</v>
      </c>
      <c r="I7">
        <f t="shared" si="3"/>
        <v>170</v>
      </c>
      <c r="J7">
        <f t="shared" si="4"/>
        <v>182.35294117647058</v>
      </c>
      <c r="K7">
        <f t="shared" si="5"/>
        <v>7.2664359861591699E-2</v>
      </c>
      <c r="L7">
        <f t="shared" si="6"/>
        <v>-0.64516129032258063</v>
      </c>
      <c r="M7">
        <f>Assumptions!D7</f>
        <v>-0.5</v>
      </c>
      <c r="O7">
        <f t="shared" si="7"/>
        <v>3</v>
      </c>
      <c r="P7" s="9">
        <f t="shared" si="8"/>
        <v>1.5</v>
      </c>
      <c r="Q7" s="10">
        <f t="shared" si="9"/>
        <v>127.5</v>
      </c>
      <c r="R7" s="7">
        <f t="shared" si="11"/>
        <v>191.25</v>
      </c>
      <c r="S7" s="7">
        <f>(Table3[[#This Row],[Proposed Revenue]]-I7)/(H7-C7)</f>
        <v>-69.999999999999943</v>
      </c>
      <c r="V7">
        <f>C7+W7*(B7)</f>
        <v>3</v>
      </c>
      <c r="W7">
        <f t="shared" si="10"/>
        <v>1.1764705882352941E-2</v>
      </c>
      <c r="X7">
        <f t="shared" si="12"/>
        <v>85</v>
      </c>
    </row>
    <row r="8" spans="1:24">
      <c r="A8" t="str">
        <f>Assumptions!A8</f>
        <v>Bellamy - Shelter 1</v>
      </c>
      <c r="B8">
        <f>Assumptions!B8</f>
        <v>85</v>
      </c>
      <c r="C8">
        <f>Assumptions!C8</f>
        <v>1</v>
      </c>
      <c r="D8">
        <f>Assumptions!D8</f>
        <v>-0.5</v>
      </c>
      <c r="E8">
        <f t="shared" si="0"/>
        <v>5.8823529411764705E-3</v>
      </c>
      <c r="F8">
        <f t="shared" si="1"/>
        <v>1.5</v>
      </c>
      <c r="G8" s="6">
        <v>100</v>
      </c>
      <c r="H8" s="7">
        <f t="shared" si="2"/>
        <v>0.91176470588235292</v>
      </c>
      <c r="I8">
        <f t="shared" si="3"/>
        <v>85</v>
      </c>
      <c r="J8">
        <f t="shared" si="4"/>
        <v>91.17647058823529</v>
      </c>
      <c r="K8">
        <f t="shared" si="5"/>
        <v>7.2664359861591699E-2</v>
      </c>
      <c r="L8">
        <f t="shared" si="6"/>
        <v>-0.64516129032258063</v>
      </c>
      <c r="M8">
        <f>Assumptions!D8</f>
        <v>-0.5</v>
      </c>
      <c r="O8">
        <f t="shared" si="7"/>
        <v>1.5</v>
      </c>
      <c r="P8" s="9">
        <f t="shared" si="8"/>
        <v>0.75</v>
      </c>
      <c r="Q8" s="10">
        <f t="shared" si="9"/>
        <v>127.5</v>
      </c>
      <c r="R8" s="7">
        <f t="shared" si="11"/>
        <v>95.625</v>
      </c>
      <c r="S8" s="7">
        <f>(Table3[[#This Row],[Proposed Revenue]]-I8)/(H8-C8)</f>
        <v>-69.999999999999943</v>
      </c>
      <c r="V8">
        <f>C8+W8*(B8)</f>
        <v>1.5</v>
      </c>
      <c r="W8">
        <f t="shared" si="10"/>
        <v>5.8823529411764705E-3</v>
      </c>
      <c r="X8">
        <f t="shared" si="12"/>
        <v>85</v>
      </c>
    </row>
    <row r="9" spans="1:24">
      <c r="A9" t="str">
        <f>Assumptions!A9</f>
        <v>Bertha Ross - Shelter #1 (Top of Hill)</v>
      </c>
      <c r="B9">
        <f>Assumptions!B9</f>
        <v>85</v>
      </c>
      <c r="C9">
        <f>Assumptions!C9</f>
        <v>9</v>
      </c>
      <c r="D9">
        <f>Assumptions!D9</f>
        <v>-0.5</v>
      </c>
      <c r="E9">
        <f t="shared" si="0"/>
        <v>5.2941176470588235E-2</v>
      </c>
      <c r="F9">
        <f t="shared" si="1"/>
        <v>13.5</v>
      </c>
      <c r="G9" s="6">
        <v>100</v>
      </c>
      <c r="H9" s="7">
        <f t="shared" si="2"/>
        <v>8.2058823529411775</v>
      </c>
      <c r="I9">
        <f t="shared" si="3"/>
        <v>765</v>
      </c>
      <c r="J9" s="7">
        <f t="shared" si="4"/>
        <v>820.58823529411779</v>
      </c>
      <c r="K9">
        <f t="shared" si="5"/>
        <v>7.2664359861591921E-2</v>
      </c>
      <c r="L9">
        <f t="shared" si="6"/>
        <v>-0.64516129032258052</v>
      </c>
      <c r="M9">
        <f>Assumptions!D9</f>
        <v>-0.5</v>
      </c>
      <c r="O9">
        <f t="shared" si="7"/>
        <v>13.5</v>
      </c>
      <c r="P9" s="9">
        <f t="shared" si="8"/>
        <v>6.75</v>
      </c>
      <c r="Q9" s="10">
        <f t="shared" si="9"/>
        <v>127.5</v>
      </c>
      <c r="R9" s="7">
        <f t="shared" si="11"/>
        <v>860.625</v>
      </c>
      <c r="S9" s="7">
        <f>(Table3[[#This Row],[Proposed Revenue]]-I9)/(H9-C9)</f>
        <v>-70.000000000000284</v>
      </c>
      <c r="V9">
        <f>C9+W9*(B9)</f>
        <v>13.5</v>
      </c>
      <c r="W9">
        <f t="shared" si="10"/>
        <v>5.2941176470588235E-2</v>
      </c>
      <c r="X9">
        <f t="shared" si="12"/>
        <v>85</v>
      </c>
    </row>
    <row r="10" spans="1:24">
      <c r="A10" t="str">
        <f>Assumptions!A10</f>
        <v>Bertha Ross - Shelter #2 (Bottom)</v>
      </c>
      <c r="B10">
        <f>Assumptions!B10</f>
        <v>110</v>
      </c>
      <c r="C10">
        <f>Assumptions!C10</f>
        <v>22</v>
      </c>
      <c r="D10">
        <f>Assumptions!D10</f>
        <v>-0.5</v>
      </c>
      <c r="E10">
        <f t="shared" si="0"/>
        <v>0.1</v>
      </c>
      <c r="F10">
        <f t="shared" si="1"/>
        <v>33</v>
      </c>
      <c r="G10" s="27">
        <v>125</v>
      </c>
      <c r="H10">
        <f t="shared" si="2"/>
        <v>20.5</v>
      </c>
      <c r="I10">
        <f t="shared" si="3"/>
        <v>2420</v>
      </c>
      <c r="J10">
        <f t="shared" si="4"/>
        <v>2562.5</v>
      </c>
      <c r="K10">
        <f t="shared" si="5"/>
        <v>5.8884297520661155E-2</v>
      </c>
      <c r="L10">
        <f t="shared" si="6"/>
        <v>-0.6097560975609756</v>
      </c>
      <c r="M10">
        <f>Assumptions!D10</f>
        <v>-0.5</v>
      </c>
      <c r="O10">
        <f t="shared" si="7"/>
        <v>33</v>
      </c>
      <c r="P10" s="9">
        <f t="shared" si="8"/>
        <v>16.5</v>
      </c>
      <c r="Q10" s="10">
        <f t="shared" si="9"/>
        <v>165</v>
      </c>
      <c r="R10" s="7">
        <f t="shared" si="11"/>
        <v>2722.5</v>
      </c>
      <c r="S10" s="7">
        <f>(Table3[[#This Row],[Proposed Revenue]]-I10)/(H10-C10)</f>
        <v>-95</v>
      </c>
      <c r="V10">
        <f>C10+W10*(B10)</f>
        <v>33</v>
      </c>
      <c r="W10">
        <f t="shared" si="10"/>
        <v>0.1</v>
      </c>
      <c r="X10">
        <f t="shared" si="12"/>
        <v>110</v>
      </c>
    </row>
    <row r="11" spans="1:24">
      <c r="A11" t="str">
        <f>Assumptions!A11</f>
        <v>BR - Lawn Space</v>
      </c>
      <c r="B11">
        <f>Assumptions!B11</f>
        <v>20</v>
      </c>
      <c r="C11">
        <f>Assumptions!C11</f>
        <v>26</v>
      </c>
      <c r="D11">
        <f>Assumptions!D11</f>
        <v>-0.5</v>
      </c>
      <c r="E11">
        <f t="shared" si="0"/>
        <v>0.65</v>
      </c>
      <c r="F11">
        <f t="shared" si="1"/>
        <v>39</v>
      </c>
      <c r="G11" s="6">
        <v>35</v>
      </c>
      <c r="H11">
        <f t="shared" si="2"/>
        <v>16.25</v>
      </c>
      <c r="I11">
        <f t="shared" si="3"/>
        <v>520</v>
      </c>
      <c r="J11">
        <f t="shared" si="4"/>
        <v>568.75</v>
      </c>
      <c r="K11">
        <f t="shared" si="5"/>
        <v>9.375E-2</v>
      </c>
      <c r="L11">
        <f t="shared" si="6"/>
        <v>-1.4</v>
      </c>
      <c r="M11">
        <f>Assumptions!D11</f>
        <v>-0.5</v>
      </c>
      <c r="O11">
        <f t="shared" si="7"/>
        <v>39</v>
      </c>
      <c r="P11" s="9">
        <f t="shared" si="8"/>
        <v>19.5</v>
      </c>
      <c r="Q11" s="10">
        <f t="shared" si="9"/>
        <v>30</v>
      </c>
      <c r="R11" s="7">
        <f t="shared" si="11"/>
        <v>585</v>
      </c>
      <c r="S11" s="7">
        <f>(Table3[[#This Row],[Proposed Revenue]]-I11)/(H11-C11)</f>
        <v>-5</v>
      </c>
      <c r="V11">
        <f>C11+W11*(B11)</f>
        <v>39</v>
      </c>
      <c r="W11">
        <f t="shared" si="10"/>
        <v>0.65</v>
      </c>
      <c r="X11">
        <f t="shared" si="12"/>
        <v>20</v>
      </c>
    </row>
    <row r="12" spans="1:24">
      <c r="A12" t="str">
        <f>Assumptions!A12</f>
        <v>BR - Picnic Knoll</v>
      </c>
      <c r="B12">
        <f>Assumptions!B12</f>
        <v>70</v>
      </c>
      <c r="C12">
        <f>Assumptions!C12</f>
        <v>67</v>
      </c>
      <c r="D12">
        <f>Assumptions!D12</f>
        <v>-0.5</v>
      </c>
      <c r="E12">
        <f t="shared" si="0"/>
        <v>0.47857142857142859</v>
      </c>
      <c r="F12">
        <f t="shared" si="1"/>
        <v>100.5</v>
      </c>
      <c r="G12" s="6">
        <v>85</v>
      </c>
      <c r="H12">
        <f t="shared" si="2"/>
        <v>59.821428571428569</v>
      </c>
      <c r="I12">
        <f t="shared" si="3"/>
        <v>4690</v>
      </c>
      <c r="J12">
        <f t="shared" si="4"/>
        <v>5084.8214285714284</v>
      </c>
      <c r="K12">
        <f t="shared" si="5"/>
        <v>8.418367346938771E-2</v>
      </c>
      <c r="L12">
        <f t="shared" si="6"/>
        <v>-0.68</v>
      </c>
      <c r="M12">
        <f>Assumptions!D12</f>
        <v>-0.5</v>
      </c>
      <c r="O12">
        <f t="shared" si="7"/>
        <v>100.5</v>
      </c>
      <c r="P12" s="9">
        <f t="shared" si="8"/>
        <v>50.25</v>
      </c>
      <c r="Q12" s="10">
        <f t="shared" si="9"/>
        <v>105</v>
      </c>
      <c r="R12" s="7">
        <f t="shared" si="11"/>
        <v>5276.25</v>
      </c>
      <c r="S12" s="7">
        <f>(Table3[[#This Row],[Proposed Revenue]]-I12)/(H12-C12)</f>
        <v>-54.999999999999964</v>
      </c>
      <c r="V12">
        <f>C12+W12*(B12)</f>
        <v>100.5</v>
      </c>
      <c r="W12">
        <f t="shared" si="10"/>
        <v>0.47857142857142859</v>
      </c>
      <c r="X12">
        <f t="shared" si="12"/>
        <v>70</v>
      </c>
    </row>
    <row r="13" spans="1:24">
      <c r="A13" t="str">
        <f>Assumptions!A13</f>
        <v>BR - Shelter #1</v>
      </c>
      <c r="B13">
        <f>Assumptions!B13</f>
        <v>285</v>
      </c>
      <c r="C13">
        <f>Assumptions!C13</f>
        <v>97</v>
      </c>
      <c r="D13">
        <f>Assumptions!D13</f>
        <v>-0.5</v>
      </c>
      <c r="E13">
        <f t="shared" si="0"/>
        <v>0.17017543859649123</v>
      </c>
      <c r="F13">
        <f t="shared" si="1"/>
        <v>145.5</v>
      </c>
      <c r="G13" s="6">
        <v>300</v>
      </c>
      <c r="H13">
        <f t="shared" si="2"/>
        <v>94.44736842105263</v>
      </c>
      <c r="I13">
        <f t="shared" si="3"/>
        <v>27645</v>
      </c>
      <c r="J13">
        <f t="shared" si="4"/>
        <v>28334.21052631579</v>
      </c>
      <c r="K13">
        <f t="shared" si="5"/>
        <v>2.4930747922437657E-2</v>
      </c>
      <c r="L13">
        <f t="shared" si="6"/>
        <v>-0.54054054054054057</v>
      </c>
      <c r="M13">
        <f>Assumptions!D13</f>
        <v>-0.5</v>
      </c>
      <c r="O13">
        <f t="shared" si="7"/>
        <v>145.5</v>
      </c>
      <c r="P13" s="9">
        <f t="shared" si="8"/>
        <v>72.75</v>
      </c>
      <c r="Q13" s="10">
        <f t="shared" si="9"/>
        <v>427.5</v>
      </c>
      <c r="R13" s="7">
        <f t="shared" si="11"/>
        <v>31100.625</v>
      </c>
      <c r="S13" s="7">
        <f>(Table3[[#This Row],[Proposed Revenue]]-I13)/(H13-C13)</f>
        <v>-270.00000000000006</v>
      </c>
      <c r="V13">
        <f>C13+W13*(B13)</f>
        <v>145.5</v>
      </c>
      <c r="W13">
        <f t="shared" si="10"/>
        <v>0.17017543859649123</v>
      </c>
      <c r="X13">
        <f t="shared" si="12"/>
        <v>285</v>
      </c>
    </row>
    <row r="14" spans="1:24">
      <c r="A14" t="str">
        <f>Assumptions!A14</f>
        <v>BR - Shelter #2</v>
      </c>
      <c r="B14">
        <f>Assumptions!B14</f>
        <v>135</v>
      </c>
      <c r="C14">
        <f>Assumptions!C14</f>
        <v>103</v>
      </c>
      <c r="D14">
        <f>Assumptions!D14</f>
        <v>-0.5</v>
      </c>
      <c r="E14">
        <f t="shared" si="0"/>
        <v>0.38148148148148148</v>
      </c>
      <c r="F14">
        <f t="shared" si="1"/>
        <v>154.5</v>
      </c>
      <c r="G14" s="6">
        <v>150</v>
      </c>
      <c r="H14">
        <f t="shared" si="2"/>
        <v>97.277777777777771</v>
      </c>
      <c r="I14">
        <f t="shared" si="3"/>
        <v>13905</v>
      </c>
      <c r="J14">
        <f t="shared" si="4"/>
        <v>14591.666666666666</v>
      </c>
      <c r="K14">
        <f t="shared" si="5"/>
        <v>4.9382716049382713E-2</v>
      </c>
      <c r="L14">
        <f t="shared" si="6"/>
        <v>-0.58823529411764708</v>
      </c>
      <c r="M14">
        <f>Assumptions!D14</f>
        <v>-0.5</v>
      </c>
      <c r="O14">
        <f t="shared" si="7"/>
        <v>154.5</v>
      </c>
      <c r="P14" s="9">
        <f t="shared" si="8"/>
        <v>77.25</v>
      </c>
      <c r="Q14" s="10">
        <f t="shared" si="9"/>
        <v>202.5</v>
      </c>
      <c r="R14" s="7">
        <f t="shared" si="11"/>
        <v>15643.125</v>
      </c>
      <c r="S14" s="7">
        <f>(Table3[[#This Row],[Proposed Revenue]]-I14)/(H14-C14)</f>
        <v>-119.99999999999976</v>
      </c>
      <c r="V14">
        <f>C14+W14*(B14)</f>
        <v>154.5</v>
      </c>
      <c r="W14">
        <f t="shared" si="10"/>
        <v>0.38148148148148148</v>
      </c>
      <c r="X14">
        <f t="shared" si="12"/>
        <v>135</v>
      </c>
    </row>
    <row r="15" spans="1:24">
      <c r="A15" t="str">
        <f>Assumptions!A15</f>
        <v>Brookside - Shelter #1 -</v>
      </c>
      <c r="B15">
        <f>Assumptions!B15</f>
        <v>85</v>
      </c>
      <c r="C15">
        <f>Assumptions!C15</f>
        <v>8</v>
      </c>
      <c r="D15">
        <f>Assumptions!D15</f>
        <v>-0.5</v>
      </c>
      <c r="E15">
        <f t="shared" si="0"/>
        <v>4.7058823529411764E-2</v>
      </c>
      <c r="F15">
        <f t="shared" si="1"/>
        <v>12</v>
      </c>
      <c r="G15" s="6">
        <v>100</v>
      </c>
      <c r="H15">
        <f t="shared" si="2"/>
        <v>7.2941176470588234</v>
      </c>
      <c r="I15">
        <f t="shared" si="3"/>
        <v>680</v>
      </c>
      <c r="J15">
        <f t="shared" si="4"/>
        <v>729.41176470588232</v>
      </c>
      <c r="K15">
        <f t="shared" si="5"/>
        <v>7.2664359861591699E-2</v>
      </c>
      <c r="L15">
        <f t="shared" si="6"/>
        <v>-0.64516129032258063</v>
      </c>
      <c r="M15">
        <f>Assumptions!D15</f>
        <v>-0.5</v>
      </c>
      <c r="O15">
        <f t="shared" si="7"/>
        <v>12</v>
      </c>
      <c r="P15" s="9">
        <f t="shared" si="8"/>
        <v>6</v>
      </c>
      <c r="Q15" s="10">
        <f t="shared" si="9"/>
        <v>127.5</v>
      </c>
      <c r="R15" s="7">
        <f t="shared" si="11"/>
        <v>765</v>
      </c>
      <c r="S15" s="7">
        <f>(Table3[[#This Row],[Proposed Revenue]]-I15)/(H15-C15)</f>
        <v>-69.999999999999943</v>
      </c>
      <c r="V15">
        <f>C15+W15*(B15)</f>
        <v>12</v>
      </c>
      <c r="W15">
        <f t="shared" si="10"/>
        <v>4.7058823529411764E-2</v>
      </c>
      <c r="X15">
        <f t="shared" si="12"/>
        <v>85</v>
      </c>
    </row>
    <row r="16" spans="1:24">
      <c r="A16" t="str">
        <f>Assumptions!A16</f>
        <v>Brookside - Shelter #2 - DO NOT RENT</v>
      </c>
      <c r="B16">
        <f>Assumptions!B16</f>
        <v>135</v>
      </c>
      <c r="C16">
        <f>Assumptions!C16</f>
        <v>1</v>
      </c>
      <c r="D16">
        <f>Assumptions!D16</f>
        <v>-0.5</v>
      </c>
      <c r="E16">
        <f t="shared" si="0"/>
        <v>3.7037037037037038E-3</v>
      </c>
      <c r="F16">
        <f t="shared" si="1"/>
        <v>1.5</v>
      </c>
      <c r="G16" s="6">
        <v>150</v>
      </c>
      <c r="H16">
        <f t="shared" si="2"/>
        <v>0.94444444444444442</v>
      </c>
      <c r="I16">
        <f t="shared" si="3"/>
        <v>135</v>
      </c>
      <c r="J16">
        <f t="shared" si="4"/>
        <v>141.66666666666666</v>
      </c>
      <c r="K16">
        <f t="shared" si="5"/>
        <v>4.9382716049382713E-2</v>
      </c>
      <c r="L16">
        <f t="shared" si="6"/>
        <v>-0.58823529411764708</v>
      </c>
      <c r="M16">
        <f>Assumptions!D16</f>
        <v>-0.5</v>
      </c>
      <c r="O16">
        <f t="shared" si="7"/>
        <v>1.5</v>
      </c>
      <c r="P16" s="9">
        <f t="shared" si="8"/>
        <v>0.75</v>
      </c>
      <c r="Q16" s="10">
        <f t="shared" si="9"/>
        <v>202.5</v>
      </c>
      <c r="R16" s="7">
        <f t="shared" si="11"/>
        <v>151.875</v>
      </c>
      <c r="S16" s="7">
        <f>(Table3[[#This Row],[Proposed Revenue]]-I16)/(H16-C16)</f>
        <v>-119.99999999999977</v>
      </c>
      <c r="V16">
        <f>C16+W16*(B16)</f>
        <v>1.5</v>
      </c>
      <c r="W16">
        <f t="shared" si="10"/>
        <v>3.7037037037037038E-3</v>
      </c>
      <c r="X16">
        <f t="shared" si="12"/>
        <v>135</v>
      </c>
    </row>
    <row r="17" spans="1:24">
      <c r="A17" t="str">
        <f>Assumptions!A17</f>
        <v>Brookside - Shelter #3 - DO NOT RENT</v>
      </c>
      <c r="B17">
        <f>Assumptions!B17</f>
        <v>110</v>
      </c>
      <c r="C17">
        <f>Assumptions!C17</f>
        <v>1</v>
      </c>
      <c r="D17">
        <f>Assumptions!D17</f>
        <v>-0.5</v>
      </c>
      <c r="E17">
        <f t="shared" si="0"/>
        <v>4.5454545454545452E-3</v>
      </c>
      <c r="F17">
        <f t="shared" si="1"/>
        <v>1.5</v>
      </c>
      <c r="G17" s="6">
        <v>125</v>
      </c>
      <c r="H17">
        <f t="shared" si="2"/>
        <v>0.93181818181818188</v>
      </c>
      <c r="I17">
        <f t="shared" si="3"/>
        <v>110</v>
      </c>
      <c r="J17">
        <f t="shared" si="4"/>
        <v>116.47727272727273</v>
      </c>
      <c r="K17">
        <f t="shared" si="5"/>
        <v>5.8884297520661155E-2</v>
      </c>
      <c r="L17">
        <f t="shared" si="6"/>
        <v>-0.60975609756097549</v>
      </c>
      <c r="M17">
        <f>Assumptions!D17</f>
        <v>-0.5</v>
      </c>
      <c r="O17">
        <f t="shared" si="7"/>
        <v>1.5</v>
      </c>
      <c r="P17" s="9">
        <f t="shared" si="8"/>
        <v>0.75</v>
      </c>
      <c r="Q17" s="10">
        <f t="shared" si="9"/>
        <v>165</v>
      </c>
      <c r="R17" s="7">
        <f t="shared" si="11"/>
        <v>123.75</v>
      </c>
      <c r="S17" s="7">
        <f>(Table3[[#This Row],[Proposed Revenue]]-I17)/(H17-C17)</f>
        <v>-95.000000000000185</v>
      </c>
      <c r="V17">
        <f>C17+W17*(B17)</f>
        <v>1.5</v>
      </c>
      <c r="W17">
        <f t="shared" si="10"/>
        <v>4.5454545454545452E-3</v>
      </c>
      <c r="X17">
        <f t="shared" si="12"/>
        <v>110</v>
      </c>
    </row>
    <row r="18" spans="1:24">
      <c r="A18" t="str">
        <f>Assumptions!A18</f>
        <v>Brookside - Shelter #5</v>
      </c>
      <c r="B18">
        <f>Assumptions!B18</f>
        <v>85</v>
      </c>
      <c r="C18">
        <f>Assumptions!C18</f>
        <v>5</v>
      </c>
      <c r="D18">
        <f>Assumptions!D18</f>
        <v>-0.5</v>
      </c>
      <c r="E18">
        <f t="shared" si="0"/>
        <v>2.9411764705882353E-2</v>
      </c>
      <c r="F18">
        <f t="shared" si="1"/>
        <v>7.5</v>
      </c>
      <c r="G18" s="6">
        <v>100</v>
      </c>
      <c r="H18">
        <f t="shared" si="2"/>
        <v>4.5588235294117645</v>
      </c>
      <c r="I18">
        <f t="shared" si="3"/>
        <v>425</v>
      </c>
      <c r="J18">
        <f t="shared" si="4"/>
        <v>455.88235294117646</v>
      </c>
      <c r="K18">
        <f t="shared" si="5"/>
        <v>7.2664359861591699E-2</v>
      </c>
      <c r="L18">
        <f t="shared" si="6"/>
        <v>-0.64516129032258063</v>
      </c>
      <c r="M18">
        <f>Assumptions!D18</f>
        <v>-0.5</v>
      </c>
      <c r="O18">
        <f t="shared" si="7"/>
        <v>7.5</v>
      </c>
      <c r="P18" s="9">
        <f t="shared" si="8"/>
        <v>3.75</v>
      </c>
      <c r="Q18" s="10">
        <f t="shared" si="9"/>
        <v>127.5</v>
      </c>
      <c r="R18" s="7">
        <f t="shared" si="11"/>
        <v>478.125</v>
      </c>
      <c r="S18" s="7">
        <f>(Table3[[#This Row],[Proposed Revenue]]-I18)/(H18-C18)</f>
        <v>-69.999999999999957</v>
      </c>
      <c r="V18">
        <f>C18+W18*(B18)</f>
        <v>7.5</v>
      </c>
      <c r="W18">
        <f t="shared" si="10"/>
        <v>2.9411764705882353E-2</v>
      </c>
      <c r="X18">
        <f t="shared" si="12"/>
        <v>85</v>
      </c>
    </row>
    <row r="19" spans="1:24">
      <c r="A19" t="str">
        <f>Assumptions!A19</f>
        <v>Canterbury - Shelter</v>
      </c>
      <c r="B19">
        <f>Assumptions!B19</f>
        <v>85</v>
      </c>
      <c r="C19">
        <f>Assumptions!C19</f>
        <v>30</v>
      </c>
      <c r="D19">
        <f>Assumptions!D19</f>
        <v>-0.5</v>
      </c>
      <c r="E19">
        <f t="shared" si="0"/>
        <v>0.17647058823529413</v>
      </c>
      <c r="F19">
        <f t="shared" si="1"/>
        <v>45</v>
      </c>
      <c r="G19" s="6">
        <v>100</v>
      </c>
      <c r="H19">
        <f t="shared" si="2"/>
        <v>27.352941176470587</v>
      </c>
      <c r="I19">
        <f t="shared" si="3"/>
        <v>2550</v>
      </c>
      <c r="J19">
        <f t="shared" si="4"/>
        <v>2735.2941176470586</v>
      </c>
      <c r="K19">
        <f t="shared" si="5"/>
        <v>7.2664359861591699E-2</v>
      </c>
      <c r="L19">
        <f t="shared" si="6"/>
        <v>-0.64516129032258074</v>
      </c>
      <c r="M19">
        <f>Assumptions!D19</f>
        <v>-0.5</v>
      </c>
      <c r="O19">
        <f t="shared" si="7"/>
        <v>45</v>
      </c>
      <c r="P19" s="9">
        <f t="shared" si="8"/>
        <v>22.5</v>
      </c>
      <c r="Q19" s="10">
        <f t="shared" si="9"/>
        <v>127.49999999999999</v>
      </c>
      <c r="R19" s="7">
        <f t="shared" si="11"/>
        <v>2868.7499999999995</v>
      </c>
      <c r="S19" s="7">
        <f>(Table3[[#This Row],[Proposed Revenue]]-I19)/(H19-C19)</f>
        <v>-69.999999999999872</v>
      </c>
      <c r="V19">
        <f>C19+W19*(B19)</f>
        <v>45</v>
      </c>
      <c r="W19">
        <f t="shared" si="10"/>
        <v>0.17647058823529413</v>
      </c>
      <c r="X19">
        <f t="shared" si="12"/>
        <v>85</v>
      </c>
    </row>
    <row r="20" spans="1:24">
      <c r="A20" t="str">
        <f>Assumptions!A20</f>
        <v>Carson - Shelter #1</v>
      </c>
      <c r="B20">
        <f>Assumptions!B20</f>
        <v>85</v>
      </c>
      <c r="C20">
        <f>Assumptions!C20</f>
        <v>8</v>
      </c>
      <c r="D20">
        <f>Assumptions!D20</f>
        <v>-0.5</v>
      </c>
      <c r="E20">
        <f t="shared" si="0"/>
        <v>4.7058823529411764E-2</v>
      </c>
      <c r="F20">
        <f t="shared" si="1"/>
        <v>12</v>
      </c>
      <c r="G20" s="6">
        <v>100</v>
      </c>
      <c r="H20">
        <f t="shared" si="2"/>
        <v>7.2941176470588234</v>
      </c>
      <c r="I20">
        <f t="shared" si="3"/>
        <v>680</v>
      </c>
      <c r="J20">
        <f t="shared" si="4"/>
        <v>729.41176470588232</v>
      </c>
      <c r="K20">
        <f t="shared" si="5"/>
        <v>7.2664359861591699E-2</v>
      </c>
      <c r="L20">
        <f t="shared" si="6"/>
        <v>-0.64516129032258063</v>
      </c>
      <c r="M20">
        <f>Assumptions!D20</f>
        <v>-0.5</v>
      </c>
      <c r="O20">
        <f t="shared" si="7"/>
        <v>12</v>
      </c>
      <c r="P20" s="9">
        <f t="shared" si="8"/>
        <v>6</v>
      </c>
      <c r="Q20" s="10">
        <f t="shared" si="9"/>
        <v>127.5</v>
      </c>
      <c r="R20" s="7">
        <f t="shared" si="11"/>
        <v>765</v>
      </c>
      <c r="S20" s="7">
        <f>(Table3[[#This Row],[Proposed Revenue]]-I20)/(H20-C20)</f>
        <v>-69.999999999999943</v>
      </c>
      <c r="V20">
        <f>C20+W20*(B20)</f>
        <v>12</v>
      </c>
      <c r="W20">
        <f t="shared" si="10"/>
        <v>4.7058823529411764E-2</v>
      </c>
      <c r="X20">
        <f t="shared" si="12"/>
        <v>85</v>
      </c>
    </row>
    <row r="21" spans="1:24">
      <c r="A21" t="str">
        <f>Assumptions!A21</f>
        <v>Cent. &amp; Groff - Shelter</v>
      </c>
      <c r="B21">
        <f>Assumptions!B21</f>
        <v>85</v>
      </c>
      <c r="C21">
        <f>Assumptions!C21</f>
        <v>3</v>
      </c>
      <c r="D21">
        <f>Assumptions!D21</f>
        <v>-0.5</v>
      </c>
      <c r="E21">
        <f t="shared" si="0"/>
        <v>1.7647058823529412E-2</v>
      </c>
      <c r="F21">
        <f t="shared" si="1"/>
        <v>4.5</v>
      </c>
      <c r="G21" s="6">
        <v>100</v>
      </c>
      <c r="H21">
        <f t="shared" si="2"/>
        <v>2.7352941176470589</v>
      </c>
      <c r="I21">
        <f t="shared" si="3"/>
        <v>255</v>
      </c>
      <c r="J21">
        <f t="shared" si="4"/>
        <v>273.52941176470591</v>
      </c>
      <c r="K21">
        <f t="shared" si="5"/>
        <v>7.2664359861591921E-2</v>
      </c>
      <c r="L21">
        <f t="shared" si="6"/>
        <v>-0.64516129032258063</v>
      </c>
      <c r="M21">
        <f>Assumptions!D21</f>
        <v>-0.5</v>
      </c>
      <c r="O21">
        <f t="shared" si="7"/>
        <v>4.5</v>
      </c>
      <c r="P21" s="9">
        <f t="shared" si="8"/>
        <v>2.25</v>
      </c>
      <c r="Q21" s="10">
        <f t="shared" si="9"/>
        <v>127.5</v>
      </c>
      <c r="R21" s="7">
        <f t="shared" si="11"/>
        <v>286.875</v>
      </c>
      <c r="S21" s="7">
        <f>(Table3[[#This Row],[Proposed Revenue]]-I21)/(H21-C21)</f>
        <v>-70.000000000000128</v>
      </c>
      <c r="V21">
        <f>C21+W21*(B21)</f>
        <v>4.5</v>
      </c>
      <c r="W21">
        <f t="shared" si="10"/>
        <v>1.7647058823529412E-2</v>
      </c>
      <c r="X21">
        <f t="shared" si="12"/>
        <v>85</v>
      </c>
    </row>
    <row r="22" spans="1:24">
      <c r="A22" t="str">
        <f>Assumptions!A22</f>
        <v>Christian - Picnic Knoll</v>
      </c>
      <c r="B22">
        <f>Assumptions!B22</f>
        <v>70</v>
      </c>
      <c r="C22">
        <f>Assumptions!C22</f>
        <v>16</v>
      </c>
      <c r="D22">
        <f>Assumptions!D22</f>
        <v>-0.5</v>
      </c>
      <c r="E22">
        <f t="shared" si="0"/>
        <v>0.11428571428571428</v>
      </c>
      <c r="F22">
        <f t="shared" si="1"/>
        <v>24</v>
      </c>
      <c r="G22" s="6">
        <v>85</v>
      </c>
      <c r="H22">
        <f t="shared" si="2"/>
        <v>14.285714285714286</v>
      </c>
      <c r="I22">
        <f t="shared" si="3"/>
        <v>1120</v>
      </c>
      <c r="J22">
        <f t="shared" si="4"/>
        <v>1214.2857142857144</v>
      </c>
      <c r="K22">
        <f t="shared" si="5"/>
        <v>8.4183673469387932E-2</v>
      </c>
      <c r="L22">
        <f t="shared" si="6"/>
        <v>-0.67999999999999994</v>
      </c>
      <c r="M22">
        <f>Assumptions!D22</f>
        <v>-0.5</v>
      </c>
      <c r="O22">
        <f t="shared" si="7"/>
        <v>24</v>
      </c>
      <c r="P22" s="9">
        <f t="shared" si="8"/>
        <v>12</v>
      </c>
      <c r="Q22" s="10">
        <f t="shared" si="9"/>
        <v>105</v>
      </c>
      <c r="R22" s="7">
        <f t="shared" si="11"/>
        <v>1260</v>
      </c>
      <c r="S22" s="7">
        <f>(Table3[[#This Row],[Proposed Revenue]]-I22)/(H22-C22)</f>
        <v>-55.000000000000121</v>
      </c>
      <c r="V22">
        <f>C22+W22*(B22)</f>
        <v>24</v>
      </c>
      <c r="W22">
        <f t="shared" si="10"/>
        <v>0.11428571428571428</v>
      </c>
      <c r="X22">
        <f t="shared" si="12"/>
        <v>70</v>
      </c>
    </row>
    <row r="23" spans="1:24">
      <c r="A23" t="str">
        <f>Assumptions!A23</f>
        <v>Christian - Shelter East (#2)</v>
      </c>
      <c r="B23">
        <f>Assumptions!B23</f>
        <v>85</v>
      </c>
      <c r="C23">
        <f>Assumptions!C23</f>
        <v>31</v>
      </c>
      <c r="D23">
        <f>Assumptions!D23</f>
        <v>-0.5</v>
      </c>
      <c r="E23">
        <f t="shared" si="0"/>
        <v>0.18235294117647058</v>
      </c>
      <c r="F23">
        <f t="shared" si="1"/>
        <v>46.5</v>
      </c>
      <c r="G23" s="6">
        <v>100</v>
      </c>
      <c r="H23">
        <f t="shared" si="2"/>
        <v>28.264705882352942</v>
      </c>
      <c r="I23">
        <f t="shared" si="3"/>
        <v>2635</v>
      </c>
      <c r="J23">
        <f t="shared" si="4"/>
        <v>2826.4705882352941</v>
      </c>
      <c r="K23">
        <f t="shared" si="5"/>
        <v>7.2664359861591699E-2</v>
      </c>
      <c r="L23">
        <f t="shared" si="6"/>
        <v>-0.64516129032258063</v>
      </c>
      <c r="M23">
        <f>Assumptions!D23</f>
        <v>-0.5</v>
      </c>
      <c r="O23">
        <f t="shared" si="7"/>
        <v>46.5</v>
      </c>
      <c r="P23" s="9">
        <f t="shared" si="8"/>
        <v>23.25</v>
      </c>
      <c r="Q23" s="10">
        <f t="shared" si="9"/>
        <v>127.5</v>
      </c>
      <c r="R23" s="7">
        <f t="shared" si="11"/>
        <v>2964.375</v>
      </c>
      <c r="S23" s="7">
        <f>(Table3[[#This Row],[Proposed Revenue]]-I23)/(H23-C23)</f>
        <v>-70.000000000000028</v>
      </c>
      <c r="V23">
        <f>C23+W23*(B23)</f>
        <v>46.5</v>
      </c>
      <c r="W23">
        <f t="shared" si="10"/>
        <v>0.18235294117647058</v>
      </c>
      <c r="X23">
        <f t="shared" si="12"/>
        <v>85</v>
      </c>
    </row>
    <row r="24" spans="1:24">
      <c r="A24" t="str">
        <f>Assumptions!A24</f>
        <v>Christian - Shelter West(#1) DO NOT RENT</v>
      </c>
      <c r="B24">
        <f>Assumptions!B24</f>
        <v>85</v>
      </c>
      <c r="C24">
        <f>Assumptions!C24</f>
        <v>1</v>
      </c>
      <c r="D24">
        <f>Assumptions!D24</f>
        <v>-0.5</v>
      </c>
      <c r="E24">
        <f t="shared" si="0"/>
        <v>5.8823529411764705E-3</v>
      </c>
      <c r="F24">
        <f t="shared" si="1"/>
        <v>1.5</v>
      </c>
      <c r="G24" s="6">
        <v>100</v>
      </c>
      <c r="H24">
        <f t="shared" si="2"/>
        <v>0.91176470588235292</v>
      </c>
      <c r="I24">
        <f t="shared" si="3"/>
        <v>85</v>
      </c>
      <c r="J24">
        <f t="shared" si="4"/>
        <v>91.17647058823529</v>
      </c>
      <c r="K24">
        <f t="shared" si="5"/>
        <v>7.2664359861591699E-2</v>
      </c>
      <c r="L24">
        <f t="shared" si="6"/>
        <v>-0.64516129032258063</v>
      </c>
      <c r="M24">
        <f>Assumptions!D24</f>
        <v>-0.5</v>
      </c>
      <c r="O24">
        <f t="shared" si="7"/>
        <v>1.5</v>
      </c>
      <c r="P24" s="9">
        <f t="shared" si="8"/>
        <v>0.75</v>
      </c>
      <c r="Q24" s="10">
        <f t="shared" si="9"/>
        <v>127.5</v>
      </c>
      <c r="R24" s="7">
        <f t="shared" si="11"/>
        <v>95.625</v>
      </c>
      <c r="S24" s="7">
        <f>(Table3[[#This Row],[Proposed Revenue]]-I24)/(H24-C24)</f>
        <v>-69.999999999999943</v>
      </c>
      <c r="V24">
        <f>C24+W24*(B24)</f>
        <v>1.5</v>
      </c>
      <c r="W24">
        <f t="shared" si="10"/>
        <v>5.8823529411764705E-3</v>
      </c>
      <c r="X24">
        <f t="shared" si="12"/>
        <v>85</v>
      </c>
    </row>
    <row r="25" spans="1:24">
      <c r="A25" t="str">
        <f>Assumptions!A25</f>
        <v>Chuck Klein - Shelter #1</v>
      </c>
      <c r="B25">
        <f>Assumptions!B25</f>
        <v>85</v>
      </c>
      <c r="C25">
        <f>Assumptions!C25</f>
        <v>1</v>
      </c>
      <c r="D25">
        <f>Assumptions!D25</f>
        <v>-0.5</v>
      </c>
      <c r="E25">
        <f t="shared" si="0"/>
        <v>5.8823529411764705E-3</v>
      </c>
      <c r="F25">
        <f t="shared" si="1"/>
        <v>1.5</v>
      </c>
      <c r="G25" s="6">
        <v>100</v>
      </c>
      <c r="H25">
        <f t="shared" si="2"/>
        <v>0.91176470588235292</v>
      </c>
      <c r="I25">
        <f t="shared" si="3"/>
        <v>85</v>
      </c>
      <c r="J25">
        <f t="shared" si="4"/>
        <v>91.17647058823529</v>
      </c>
      <c r="K25">
        <f t="shared" si="5"/>
        <v>7.2664359861591699E-2</v>
      </c>
      <c r="L25">
        <f t="shared" si="6"/>
        <v>-0.64516129032258063</v>
      </c>
      <c r="M25">
        <f>Assumptions!D25</f>
        <v>-0.5</v>
      </c>
      <c r="O25">
        <f t="shared" si="7"/>
        <v>1.5</v>
      </c>
      <c r="P25" s="9">
        <f t="shared" si="8"/>
        <v>0.75</v>
      </c>
      <c r="Q25" s="10">
        <f t="shared" si="9"/>
        <v>127.5</v>
      </c>
      <c r="R25" s="7">
        <f t="shared" si="11"/>
        <v>95.625</v>
      </c>
      <c r="S25" s="7">
        <f>(Table3[[#This Row],[Proposed Revenue]]-I25)/(H25-C25)</f>
        <v>-69.999999999999943</v>
      </c>
      <c r="V25">
        <f>C25+W25*(B25)</f>
        <v>1.5</v>
      </c>
      <c r="W25">
        <f t="shared" si="10"/>
        <v>5.8823529411764705E-3</v>
      </c>
      <c r="X25">
        <f t="shared" si="12"/>
        <v>85</v>
      </c>
    </row>
    <row r="26" spans="1:24">
      <c r="A26" t="str">
        <f>Assumptions!A26</f>
        <v>Clayton &amp; LaSalle - Shelter</v>
      </c>
      <c r="B26">
        <f>Assumptions!B26</f>
        <v>85</v>
      </c>
      <c r="C26">
        <f>Assumptions!C26</f>
        <v>7</v>
      </c>
      <c r="D26">
        <f>Assumptions!D26</f>
        <v>-0.5</v>
      </c>
      <c r="E26">
        <f t="shared" si="0"/>
        <v>4.1176470588235294E-2</v>
      </c>
      <c r="F26">
        <f t="shared" si="1"/>
        <v>10.5</v>
      </c>
      <c r="G26" s="6">
        <v>100</v>
      </c>
      <c r="H26">
        <f t="shared" si="2"/>
        <v>6.382352941176471</v>
      </c>
      <c r="I26">
        <f t="shared" si="3"/>
        <v>595</v>
      </c>
      <c r="J26">
        <f t="shared" si="4"/>
        <v>638.23529411764707</v>
      </c>
      <c r="K26">
        <f t="shared" si="5"/>
        <v>7.2664359861591699E-2</v>
      </c>
      <c r="L26">
        <f t="shared" si="6"/>
        <v>-0.64516129032258052</v>
      </c>
      <c r="M26">
        <f>Assumptions!D26</f>
        <v>-0.5</v>
      </c>
      <c r="O26">
        <f t="shared" si="7"/>
        <v>10.5</v>
      </c>
      <c r="P26" s="9">
        <f t="shared" si="8"/>
        <v>5.25</v>
      </c>
      <c r="Q26" s="10">
        <f t="shared" si="9"/>
        <v>127.5</v>
      </c>
      <c r="R26" s="7">
        <f t="shared" si="11"/>
        <v>669.375</v>
      </c>
      <c r="S26" s="7">
        <f>(Table3[[#This Row],[Proposed Revenue]]-I26)/(H26-C26)</f>
        <v>-70.000000000000071</v>
      </c>
      <c r="V26">
        <f>C26+W26*(B26)</f>
        <v>10.5</v>
      </c>
      <c r="W26">
        <f t="shared" si="10"/>
        <v>4.1176470588235294E-2</v>
      </c>
      <c r="X26">
        <f t="shared" si="12"/>
        <v>85</v>
      </c>
    </row>
    <row r="27" spans="1:24">
      <c r="A27" t="str">
        <f>Assumptions!A27</f>
        <v>Dan Wakefield Park - Shelter</v>
      </c>
      <c r="B27">
        <f>Assumptions!B27</f>
        <v>85</v>
      </c>
      <c r="C27">
        <f>Assumptions!C27</f>
        <v>33</v>
      </c>
      <c r="D27">
        <f>Assumptions!D27</f>
        <v>-0.5</v>
      </c>
      <c r="E27">
        <f t="shared" si="0"/>
        <v>0.19411764705882353</v>
      </c>
      <c r="F27">
        <f t="shared" si="1"/>
        <v>49.5</v>
      </c>
      <c r="G27" s="6">
        <v>100</v>
      </c>
      <c r="H27">
        <f t="shared" si="2"/>
        <v>30.088235294117645</v>
      </c>
      <c r="I27">
        <f t="shared" si="3"/>
        <v>2805</v>
      </c>
      <c r="J27">
        <f t="shared" si="4"/>
        <v>3008.8235294117644</v>
      </c>
      <c r="K27">
        <f t="shared" si="5"/>
        <v>7.2664359861591699E-2</v>
      </c>
      <c r="L27">
        <f t="shared" si="6"/>
        <v>-0.64516129032258074</v>
      </c>
      <c r="M27">
        <f>Assumptions!D27</f>
        <v>-0.5</v>
      </c>
      <c r="O27">
        <f t="shared" si="7"/>
        <v>49.5</v>
      </c>
      <c r="P27" s="9">
        <f t="shared" si="8"/>
        <v>24.75</v>
      </c>
      <c r="Q27" s="10">
        <f t="shared" si="9"/>
        <v>127.5</v>
      </c>
      <c r="R27" s="7">
        <f t="shared" si="11"/>
        <v>3155.625</v>
      </c>
      <c r="S27" s="7">
        <f>(Table3[[#This Row],[Proposed Revenue]]-I27)/(H27-C27)</f>
        <v>-69.999999999999844</v>
      </c>
      <c r="V27">
        <f>C27+W27*(B27)</f>
        <v>49.5</v>
      </c>
      <c r="W27">
        <f t="shared" si="10"/>
        <v>0.19411764705882353</v>
      </c>
      <c r="X27">
        <f t="shared" si="12"/>
        <v>85</v>
      </c>
    </row>
    <row r="28" spans="1:24">
      <c r="A28" t="str">
        <f>Assumptions!A28</f>
        <v>Dr. MLK - Shelter- Large Pavilion</v>
      </c>
      <c r="B28">
        <f>Assumptions!B28</f>
        <v>285</v>
      </c>
      <c r="C28">
        <f>Assumptions!C28</f>
        <v>25</v>
      </c>
      <c r="D28">
        <f>Assumptions!D28</f>
        <v>-0.5</v>
      </c>
      <c r="E28">
        <f t="shared" si="0"/>
        <v>4.3859649122807015E-2</v>
      </c>
      <c r="F28">
        <f t="shared" si="1"/>
        <v>37.5</v>
      </c>
      <c r="G28" s="6">
        <v>300</v>
      </c>
      <c r="H28">
        <f t="shared" si="2"/>
        <v>24.342105263157897</v>
      </c>
      <c r="I28">
        <f t="shared" si="3"/>
        <v>7125</v>
      </c>
      <c r="J28">
        <f t="shared" si="4"/>
        <v>7302.6315789473692</v>
      </c>
      <c r="K28">
        <f t="shared" si="5"/>
        <v>2.4930747922437879E-2</v>
      </c>
      <c r="L28">
        <f t="shared" si="6"/>
        <v>-0.54054054054054046</v>
      </c>
      <c r="M28">
        <f>Assumptions!D28</f>
        <v>-0.5</v>
      </c>
      <c r="O28">
        <f t="shared" si="7"/>
        <v>37.5</v>
      </c>
      <c r="P28" s="9">
        <f t="shared" si="8"/>
        <v>18.75</v>
      </c>
      <c r="Q28" s="10">
        <f t="shared" si="9"/>
        <v>427.5</v>
      </c>
      <c r="R28" s="7">
        <f t="shared" si="11"/>
        <v>8015.625</v>
      </c>
      <c r="S28" s="7">
        <f>(Table3[[#This Row],[Proposed Revenue]]-I28)/(H28-C28)</f>
        <v>-270.00000000000233</v>
      </c>
      <c r="V28">
        <f>C28+W28*(B28)</f>
        <v>37.5</v>
      </c>
      <c r="W28">
        <f t="shared" si="10"/>
        <v>4.3859649122807015E-2</v>
      </c>
      <c r="X28">
        <f t="shared" si="12"/>
        <v>285</v>
      </c>
    </row>
    <row r="29" spans="1:24">
      <c r="A29" t="str">
        <f>Assumptions!A29</f>
        <v>Dubarry - Shelter 1</v>
      </c>
      <c r="B29">
        <f>Assumptions!B29</f>
        <v>0</v>
      </c>
      <c r="C29">
        <f>Assumptions!C29</f>
        <v>4</v>
      </c>
      <c r="D29">
        <f>Assumptions!D29</f>
        <v>-0.5</v>
      </c>
      <c r="E29" t="e">
        <f t="shared" si="0"/>
        <v>#DIV/0!</v>
      </c>
      <c r="F29" t="e">
        <f t="shared" si="1"/>
        <v>#DIV/0!</v>
      </c>
      <c r="G29" s="6">
        <v>15</v>
      </c>
      <c r="H29" t="e">
        <f t="shared" si="2"/>
        <v>#DIV/0!</v>
      </c>
      <c r="I29">
        <f t="shared" si="3"/>
        <v>0</v>
      </c>
      <c r="J29" t="e">
        <f t="shared" si="4"/>
        <v>#DIV/0!</v>
      </c>
      <c r="K29" t="e">
        <f t="shared" si="5"/>
        <v>#DIV/0!</v>
      </c>
      <c r="L29" t="e">
        <f t="shared" si="6"/>
        <v>#DIV/0!</v>
      </c>
      <c r="M29">
        <f>Assumptions!D29</f>
        <v>-0.5</v>
      </c>
      <c r="O29" t="e">
        <f t="shared" si="7"/>
        <v>#DIV/0!</v>
      </c>
      <c r="P29" s="9" t="e">
        <f t="shared" si="8"/>
        <v>#DIV/0!</v>
      </c>
      <c r="Q29" s="10" t="e">
        <f t="shared" si="9"/>
        <v>#DIV/0!</v>
      </c>
      <c r="R29" s="7" t="e">
        <f t="shared" si="11"/>
        <v>#DIV/0!</v>
      </c>
      <c r="S29" s="7" t="e">
        <f>(Table3[[#This Row],[Proposed Revenue]]-I29)/(H29-C29)</f>
        <v>#DIV/0!</v>
      </c>
      <c r="V29" t="e">
        <f>C29+W29*(B29)</f>
        <v>#DIV/0!</v>
      </c>
      <c r="W29" t="e">
        <f t="shared" si="10"/>
        <v>#DIV/0!</v>
      </c>
      <c r="X29">
        <f t="shared" si="12"/>
        <v>0</v>
      </c>
    </row>
    <row r="30" spans="1:24">
      <c r="A30" t="str">
        <f>Assumptions!A30</f>
        <v>EC - Beach Shelter</v>
      </c>
      <c r="B30">
        <f>Assumptions!B30</f>
        <v>285</v>
      </c>
      <c r="C30">
        <f>Assumptions!C30</f>
        <v>76</v>
      </c>
      <c r="D30">
        <f>Assumptions!D30</f>
        <v>-0.5</v>
      </c>
      <c r="E30">
        <f t="shared" si="0"/>
        <v>0.13333333333333333</v>
      </c>
      <c r="F30">
        <f t="shared" si="1"/>
        <v>114</v>
      </c>
      <c r="G30" s="6">
        <v>300</v>
      </c>
      <c r="H30">
        <f t="shared" si="2"/>
        <v>74</v>
      </c>
      <c r="I30">
        <f t="shared" si="3"/>
        <v>21660</v>
      </c>
      <c r="J30">
        <f t="shared" si="4"/>
        <v>22200</v>
      </c>
      <c r="K30">
        <f t="shared" si="5"/>
        <v>2.4930747922437657E-2</v>
      </c>
      <c r="L30">
        <f t="shared" si="6"/>
        <v>-0.54054054054054057</v>
      </c>
      <c r="M30">
        <f>Assumptions!D30</f>
        <v>-0.5</v>
      </c>
      <c r="O30">
        <f t="shared" si="7"/>
        <v>114</v>
      </c>
      <c r="P30" s="9">
        <f t="shared" si="8"/>
        <v>57</v>
      </c>
      <c r="Q30" s="10">
        <f t="shared" si="9"/>
        <v>427.5</v>
      </c>
      <c r="R30" s="7">
        <f t="shared" si="11"/>
        <v>24367.5</v>
      </c>
      <c r="S30" s="7">
        <f>(Table3[[#This Row],[Proposed Revenue]]-I30)/(H30-C30)</f>
        <v>-270</v>
      </c>
      <c r="V30">
        <f>C30+W30*(B30)</f>
        <v>114</v>
      </c>
      <c r="W30">
        <f t="shared" si="10"/>
        <v>0.13333333333333333</v>
      </c>
      <c r="X30">
        <f t="shared" si="12"/>
        <v>285</v>
      </c>
    </row>
    <row r="31" spans="1:24">
      <c r="A31" t="str">
        <f>Assumptions!A31</f>
        <v>EC - Dandy Trail Shelter</v>
      </c>
      <c r="B31">
        <f>Assumptions!B31</f>
        <v>135</v>
      </c>
      <c r="C31">
        <f>Assumptions!C31</f>
        <v>9</v>
      </c>
      <c r="D31">
        <f>Assumptions!D31</f>
        <v>-0.5</v>
      </c>
      <c r="E31">
        <f t="shared" si="0"/>
        <v>3.3333333333333333E-2</v>
      </c>
      <c r="F31">
        <f t="shared" si="1"/>
        <v>13.5</v>
      </c>
      <c r="G31" s="6">
        <v>150</v>
      </c>
      <c r="H31">
        <f t="shared" si="2"/>
        <v>8.5</v>
      </c>
      <c r="I31">
        <f t="shared" si="3"/>
        <v>1215</v>
      </c>
      <c r="J31">
        <f t="shared" si="4"/>
        <v>1275</v>
      </c>
      <c r="K31">
        <f t="shared" si="5"/>
        <v>4.9382716049382713E-2</v>
      </c>
      <c r="L31">
        <f t="shared" si="6"/>
        <v>-0.58823529411764708</v>
      </c>
      <c r="M31">
        <f>Assumptions!D31</f>
        <v>-0.5</v>
      </c>
      <c r="O31">
        <f t="shared" si="7"/>
        <v>13.5</v>
      </c>
      <c r="P31" s="9">
        <f t="shared" si="8"/>
        <v>6.75</v>
      </c>
      <c r="Q31" s="10">
        <f t="shared" si="9"/>
        <v>202.5</v>
      </c>
      <c r="R31" s="7">
        <f t="shared" si="11"/>
        <v>1366.875</v>
      </c>
      <c r="S31" s="7">
        <f>(Table3[[#This Row],[Proposed Revenue]]-I31)/(H31-C31)</f>
        <v>-120</v>
      </c>
      <c r="V31">
        <f>C31+W31*(B31)</f>
        <v>13.5</v>
      </c>
      <c r="W31">
        <f t="shared" si="10"/>
        <v>3.3333333333333333E-2</v>
      </c>
      <c r="X31">
        <f t="shared" si="12"/>
        <v>135</v>
      </c>
    </row>
    <row r="32" spans="1:24">
      <c r="A32" t="str">
        <f>Assumptions!A32</f>
        <v>EC - Lilly Lake Shelter</v>
      </c>
      <c r="B32">
        <f>Assumptions!B32</f>
        <v>135</v>
      </c>
      <c r="C32">
        <f>Assumptions!C32</f>
        <v>77</v>
      </c>
      <c r="D32">
        <f>Assumptions!D32</f>
        <v>-0.5</v>
      </c>
      <c r="E32">
        <f t="shared" si="0"/>
        <v>0.28518518518518521</v>
      </c>
      <c r="F32">
        <f t="shared" si="1"/>
        <v>115.5</v>
      </c>
      <c r="G32" s="6">
        <v>150</v>
      </c>
      <c r="H32">
        <f t="shared" si="2"/>
        <v>72.722222222222229</v>
      </c>
      <c r="I32">
        <f t="shared" si="3"/>
        <v>10395</v>
      </c>
      <c r="J32">
        <f t="shared" si="4"/>
        <v>10908.333333333334</v>
      </c>
      <c r="K32">
        <f t="shared" si="5"/>
        <v>4.9382716049382713E-2</v>
      </c>
      <c r="L32">
        <f t="shared" si="6"/>
        <v>-0.58823529411764697</v>
      </c>
      <c r="M32">
        <f>Assumptions!D32</f>
        <v>-0.5</v>
      </c>
      <c r="O32">
        <f t="shared" si="7"/>
        <v>115.5</v>
      </c>
      <c r="P32" s="9">
        <f t="shared" si="8"/>
        <v>57.75</v>
      </c>
      <c r="Q32" s="10">
        <f t="shared" si="9"/>
        <v>202.49999999999997</v>
      </c>
      <c r="R32" s="7">
        <f t="shared" si="11"/>
        <v>11694.374999999998</v>
      </c>
      <c r="S32" s="7">
        <f>(Table3[[#This Row],[Proposed Revenue]]-I32)/(H32-C32)</f>
        <v>-120.00000000000031</v>
      </c>
      <c r="V32">
        <f>C32+W32*(B32)</f>
        <v>115.5</v>
      </c>
      <c r="W32">
        <f t="shared" si="10"/>
        <v>0.28518518518518521</v>
      </c>
      <c r="X32">
        <f t="shared" si="12"/>
        <v>135</v>
      </c>
    </row>
    <row r="33" spans="1:24">
      <c r="A33" t="str">
        <f>Assumptions!A33</f>
        <v>EC - Mt. Pleasant Middle Shelter</v>
      </c>
      <c r="B33">
        <f>Assumptions!B33</f>
        <v>135</v>
      </c>
      <c r="C33">
        <f>Assumptions!C33</f>
        <v>47</v>
      </c>
      <c r="D33">
        <f>Assumptions!D33</f>
        <v>-0.5</v>
      </c>
      <c r="E33">
        <f t="shared" si="0"/>
        <v>0.17407407407407408</v>
      </c>
      <c r="F33">
        <f t="shared" si="1"/>
        <v>70.5</v>
      </c>
      <c r="G33" s="6">
        <v>150</v>
      </c>
      <c r="H33">
        <f t="shared" si="2"/>
        <v>44.388888888888886</v>
      </c>
      <c r="I33">
        <f t="shared" si="3"/>
        <v>6345</v>
      </c>
      <c r="J33">
        <f t="shared" si="4"/>
        <v>6658.333333333333</v>
      </c>
      <c r="K33">
        <f t="shared" si="5"/>
        <v>4.9382716049382713E-2</v>
      </c>
      <c r="L33">
        <f t="shared" si="6"/>
        <v>-0.58823529411764708</v>
      </c>
      <c r="M33">
        <f>Assumptions!D33</f>
        <v>-0.5</v>
      </c>
      <c r="O33">
        <f t="shared" si="7"/>
        <v>70.5</v>
      </c>
      <c r="P33" s="9">
        <f t="shared" si="8"/>
        <v>35.25</v>
      </c>
      <c r="Q33" s="10">
        <f t="shared" si="9"/>
        <v>202.5</v>
      </c>
      <c r="R33" s="7">
        <f t="shared" si="11"/>
        <v>7138.125</v>
      </c>
      <c r="S33" s="7">
        <f>(Table3[[#This Row],[Proposed Revenue]]-I33)/(H33-C33)</f>
        <v>-119.99999999999974</v>
      </c>
      <c r="V33">
        <f>C33+W33*(B33)</f>
        <v>70.5</v>
      </c>
      <c r="W33">
        <f t="shared" si="10"/>
        <v>0.17407407407407408</v>
      </c>
      <c r="X33">
        <f t="shared" si="12"/>
        <v>135</v>
      </c>
    </row>
    <row r="34" spans="1:24">
      <c r="A34" t="str">
        <f>Assumptions!A34</f>
        <v>EC - Mt. Pleasant North Shelter</v>
      </c>
      <c r="B34">
        <f>Assumptions!B34</f>
        <v>135</v>
      </c>
      <c r="C34">
        <f>Assumptions!C34</f>
        <v>60</v>
      </c>
      <c r="D34">
        <f>Assumptions!D34</f>
        <v>-0.5</v>
      </c>
      <c r="E34">
        <f t="shared" ref="E34:E65" si="13">-1*D34*C34/B34</f>
        <v>0.22222222222222221</v>
      </c>
      <c r="F34">
        <f t="shared" ref="F34:F65" si="14">C34+E34*B34</f>
        <v>90</v>
      </c>
      <c r="G34" s="6">
        <v>150</v>
      </c>
      <c r="H34">
        <f t="shared" ref="H34:H65" si="15">F34-E34*G34</f>
        <v>56.666666666666671</v>
      </c>
      <c r="I34">
        <f t="shared" ref="I34:I65" si="16">B34*C34</f>
        <v>8100</v>
      </c>
      <c r="J34">
        <f t="shared" ref="J34:J65" si="17">G34*H34</f>
        <v>8500</v>
      </c>
      <c r="K34">
        <f t="shared" ref="K34:K65" si="18">J34/I34-1</f>
        <v>4.9382716049382713E-2</v>
      </c>
      <c r="L34">
        <f t="shared" ref="L34:L65" si="19">-1*E34*G34/H34</f>
        <v>-0.58823529411764697</v>
      </c>
      <c r="M34">
        <f>Assumptions!D34</f>
        <v>-0.5</v>
      </c>
      <c r="O34">
        <f t="shared" ref="O34:O65" si="20">F34-E34*0</f>
        <v>90</v>
      </c>
      <c r="P34" s="9">
        <f t="shared" ref="P34:P65" si="21">F34-E34*Q34</f>
        <v>45</v>
      </c>
      <c r="Q34" s="10">
        <f t="shared" ref="Q34:Q65" si="22">V34/(W34*2)</f>
        <v>202.5</v>
      </c>
      <c r="R34" s="7">
        <f t="shared" si="11"/>
        <v>9112.5</v>
      </c>
      <c r="S34" s="7">
        <f>(Table3[[#This Row],[Proposed Revenue]]-I34)/(H34-C34)</f>
        <v>-120.00000000000017</v>
      </c>
      <c r="V34">
        <f>C34+W34*(B34)</f>
        <v>90</v>
      </c>
      <c r="W34">
        <f t="shared" ref="W34:W65" si="23">ABS(M34)*(C34/B34)</f>
        <v>0.22222222222222221</v>
      </c>
      <c r="X34">
        <f t="shared" si="12"/>
        <v>135</v>
      </c>
    </row>
    <row r="35" spans="1:24">
      <c r="A35" t="str">
        <f>Assumptions!A35</f>
        <v>EC - Mt. Pleasant South Shelter</v>
      </c>
      <c r="B35">
        <f>Assumptions!B35</f>
        <v>135</v>
      </c>
      <c r="C35">
        <f>Assumptions!C35</f>
        <v>40</v>
      </c>
      <c r="D35">
        <f>Assumptions!D35</f>
        <v>-0.5</v>
      </c>
      <c r="E35">
        <f t="shared" si="13"/>
        <v>0.14814814814814814</v>
      </c>
      <c r="F35">
        <f t="shared" si="14"/>
        <v>60</v>
      </c>
      <c r="G35" s="6">
        <v>150</v>
      </c>
      <c r="H35">
        <f t="shared" si="15"/>
        <v>37.777777777777779</v>
      </c>
      <c r="I35">
        <f t="shared" si="16"/>
        <v>5400</v>
      </c>
      <c r="J35">
        <f t="shared" si="17"/>
        <v>5666.666666666667</v>
      </c>
      <c r="K35">
        <f t="shared" si="18"/>
        <v>4.9382716049382713E-2</v>
      </c>
      <c r="L35">
        <f t="shared" si="19"/>
        <v>-0.58823529411764708</v>
      </c>
      <c r="M35">
        <f>Assumptions!D35</f>
        <v>-0.5</v>
      </c>
      <c r="O35">
        <f t="shared" si="20"/>
        <v>60</v>
      </c>
      <c r="P35" s="9">
        <f t="shared" si="21"/>
        <v>30</v>
      </c>
      <c r="Q35" s="10">
        <f t="shared" si="22"/>
        <v>202.5</v>
      </c>
      <c r="R35" s="7">
        <f t="shared" si="11"/>
        <v>6075</v>
      </c>
      <c r="S35" s="7">
        <f>(Table3[[#This Row],[Proposed Revenue]]-I35)/(H35-C35)</f>
        <v>-120.00000000000018</v>
      </c>
      <c r="V35">
        <f>C35+W35*(B35)</f>
        <v>60</v>
      </c>
      <c r="W35">
        <f t="shared" si="23"/>
        <v>0.14814814814814814</v>
      </c>
      <c r="X35">
        <f t="shared" si="12"/>
        <v>135</v>
      </c>
    </row>
    <row r="36" spans="1:24">
      <c r="A36" t="str">
        <f>Assumptions!A36</f>
        <v>EC - Shelter  EDC</v>
      </c>
      <c r="B36">
        <f>Assumptions!B36</f>
        <v>135</v>
      </c>
      <c r="C36">
        <f>Assumptions!C36</f>
        <v>103</v>
      </c>
      <c r="D36">
        <f>Assumptions!D36</f>
        <v>-0.5</v>
      </c>
      <c r="E36">
        <f t="shared" si="13"/>
        <v>0.38148148148148148</v>
      </c>
      <c r="F36">
        <f t="shared" si="14"/>
        <v>154.5</v>
      </c>
      <c r="G36" s="6">
        <v>150</v>
      </c>
      <c r="H36">
        <f t="shared" si="15"/>
        <v>97.277777777777771</v>
      </c>
      <c r="I36">
        <f t="shared" si="16"/>
        <v>13905</v>
      </c>
      <c r="J36">
        <f t="shared" si="17"/>
        <v>14591.666666666666</v>
      </c>
      <c r="K36">
        <f t="shared" si="18"/>
        <v>4.9382716049382713E-2</v>
      </c>
      <c r="L36">
        <f t="shared" si="19"/>
        <v>-0.58823529411764708</v>
      </c>
      <c r="M36">
        <f>Assumptions!D36</f>
        <v>-0.5</v>
      </c>
      <c r="O36">
        <f t="shared" si="20"/>
        <v>154.5</v>
      </c>
      <c r="P36" s="9">
        <f t="shared" si="21"/>
        <v>77.25</v>
      </c>
      <c r="Q36" s="10">
        <f t="shared" si="22"/>
        <v>202.5</v>
      </c>
      <c r="R36" s="7">
        <f t="shared" si="11"/>
        <v>15643.125</v>
      </c>
      <c r="S36" s="7">
        <f>(Table3[[#This Row],[Proposed Revenue]]-I36)/(H36-C36)</f>
        <v>-119.99999999999976</v>
      </c>
      <c r="V36">
        <f>C36+W36*(B36)</f>
        <v>154.5</v>
      </c>
      <c r="W36">
        <f t="shared" si="23"/>
        <v>0.38148148148148148</v>
      </c>
      <c r="X36">
        <f t="shared" si="12"/>
        <v>135</v>
      </c>
    </row>
    <row r="37" spans="1:24">
      <c r="A37" t="str">
        <f>Assumptions!A37</f>
        <v>EC - Shelter A</v>
      </c>
      <c r="B37">
        <f>Assumptions!B37</f>
        <v>135</v>
      </c>
      <c r="C37">
        <f>Assumptions!C37</f>
        <v>84</v>
      </c>
      <c r="D37">
        <f>Assumptions!D37</f>
        <v>-0.5</v>
      </c>
      <c r="E37">
        <f t="shared" si="13"/>
        <v>0.31111111111111112</v>
      </c>
      <c r="F37">
        <f t="shared" si="14"/>
        <v>126</v>
      </c>
      <c r="G37" s="6">
        <v>150</v>
      </c>
      <c r="H37">
        <f t="shared" si="15"/>
        <v>79.333333333333343</v>
      </c>
      <c r="I37">
        <f t="shared" si="16"/>
        <v>11340</v>
      </c>
      <c r="J37">
        <f t="shared" si="17"/>
        <v>11900.000000000002</v>
      </c>
      <c r="K37">
        <f t="shared" si="18"/>
        <v>4.9382716049382935E-2</v>
      </c>
      <c r="L37">
        <f t="shared" si="19"/>
        <v>-0.58823529411764697</v>
      </c>
      <c r="M37">
        <f>Assumptions!D37</f>
        <v>-0.5</v>
      </c>
      <c r="O37">
        <f t="shared" si="20"/>
        <v>126</v>
      </c>
      <c r="P37" s="9">
        <f t="shared" si="21"/>
        <v>63</v>
      </c>
      <c r="Q37" s="10">
        <f t="shared" si="22"/>
        <v>202.5</v>
      </c>
      <c r="R37" s="7">
        <f t="shared" si="11"/>
        <v>12757.5</v>
      </c>
      <c r="S37" s="7">
        <f>(Table3[[#This Row],[Proposed Revenue]]-I37)/(H37-C37)</f>
        <v>-120.00000000000064</v>
      </c>
      <c r="V37">
        <f>C37+W37*(B37)</f>
        <v>126</v>
      </c>
      <c r="W37">
        <f t="shared" si="23"/>
        <v>0.31111111111111112</v>
      </c>
      <c r="X37">
        <f t="shared" si="12"/>
        <v>135</v>
      </c>
    </row>
    <row r="38" spans="1:24">
      <c r="A38" t="str">
        <f>Assumptions!A38</f>
        <v>EC - Shelter B</v>
      </c>
      <c r="B38">
        <f>Assumptions!B38</f>
        <v>135</v>
      </c>
      <c r="C38">
        <f>Assumptions!C38</f>
        <v>61</v>
      </c>
      <c r="D38">
        <f>Assumptions!D38</f>
        <v>-0.5</v>
      </c>
      <c r="E38">
        <f t="shared" si="13"/>
        <v>0.22592592592592592</v>
      </c>
      <c r="F38">
        <f t="shared" si="14"/>
        <v>91.5</v>
      </c>
      <c r="G38" s="6">
        <v>150</v>
      </c>
      <c r="H38">
        <f t="shared" si="15"/>
        <v>57.611111111111114</v>
      </c>
      <c r="I38">
        <f t="shared" si="16"/>
        <v>8235</v>
      </c>
      <c r="J38">
        <f t="shared" si="17"/>
        <v>8641.6666666666679</v>
      </c>
      <c r="K38">
        <f t="shared" si="18"/>
        <v>4.9382716049382935E-2</v>
      </c>
      <c r="L38">
        <f t="shared" si="19"/>
        <v>-0.58823529411764697</v>
      </c>
      <c r="M38">
        <f>Assumptions!D38</f>
        <v>-0.5</v>
      </c>
      <c r="O38">
        <f t="shared" si="20"/>
        <v>91.5</v>
      </c>
      <c r="P38" s="9">
        <f t="shared" si="21"/>
        <v>45.75</v>
      </c>
      <c r="Q38" s="10">
        <f t="shared" si="22"/>
        <v>202.5</v>
      </c>
      <c r="R38" s="7">
        <f t="shared" si="11"/>
        <v>9264.375</v>
      </c>
      <c r="S38" s="7">
        <f>(Table3[[#This Row],[Proposed Revenue]]-I38)/(H38-C38)</f>
        <v>-120.00000000000047</v>
      </c>
      <c r="V38">
        <f>C38+W38*(B38)</f>
        <v>91.5</v>
      </c>
      <c r="W38">
        <f t="shared" si="23"/>
        <v>0.22592592592592592</v>
      </c>
      <c r="X38">
        <f t="shared" si="12"/>
        <v>135</v>
      </c>
    </row>
    <row r="39" spans="1:24">
      <c r="A39" t="str">
        <f>Assumptions!A39</f>
        <v>EC - Shelter C</v>
      </c>
      <c r="B39">
        <f>Assumptions!B39</f>
        <v>135</v>
      </c>
      <c r="C39">
        <f>Assumptions!C39</f>
        <v>32</v>
      </c>
      <c r="D39">
        <f>Assumptions!D39</f>
        <v>-0.5</v>
      </c>
      <c r="E39">
        <f t="shared" si="13"/>
        <v>0.11851851851851852</v>
      </c>
      <c r="F39">
        <f t="shared" si="14"/>
        <v>48</v>
      </c>
      <c r="G39" s="6">
        <v>150</v>
      </c>
      <c r="H39">
        <f t="shared" si="15"/>
        <v>30.222222222222221</v>
      </c>
      <c r="I39">
        <f t="shared" si="16"/>
        <v>4320</v>
      </c>
      <c r="J39">
        <f t="shared" si="17"/>
        <v>4533.333333333333</v>
      </c>
      <c r="K39">
        <f t="shared" si="18"/>
        <v>4.9382716049382713E-2</v>
      </c>
      <c r="L39">
        <f t="shared" si="19"/>
        <v>-0.58823529411764708</v>
      </c>
      <c r="M39">
        <f>Assumptions!D39</f>
        <v>-0.5</v>
      </c>
      <c r="O39">
        <f t="shared" si="20"/>
        <v>48</v>
      </c>
      <c r="P39" s="9">
        <f t="shared" si="21"/>
        <v>24</v>
      </c>
      <c r="Q39" s="10">
        <f t="shared" si="22"/>
        <v>202.5</v>
      </c>
      <c r="R39" s="7">
        <f t="shared" si="11"/>
        <v>4860</v>
      </c>
      <c r="S39" s="7">
        <f>(Table3[[#This Row],[Proposed Revenue]]-I39)/(H39-C39)</f>
        <v>-119.99999999999977</v>
      </c>
      <c r="V39">
        <f>C39+W39*(B39)</f>
        <v>48</v>
      </c>
      <c r="W39">
        <f t="shared" si="23"/>
        <v>0.11851851851851852</v>
      </c>
      <c r="X39">
        <f t="shared" si="12"/>
        <v>135</v>
      </c>
    </row>
    <row r="40" spans="1:24">
      <c r="A40" t="str">
        <f>Assumptions!A40</f>
        <v>EC - Shelter D</v>
      </c>
      <c r="B40">
        <f>Assumptions!B40</f>
        <v>135</v>
      </c>
      <c r="C40">
        <f>Assumptions!C40</f>
        <v>39</v>
      </c>
      <c r="D40">
        <f>Assumptions!D40</f>
        <v>-0.5</v>
      </c>
      <c r="E40">
        <f t="shared" si="13"/>
        <v>0.14444444444444443</v>
      </c>
      <c r="F40">
        <f t="shared" si="14"/>
        <v>58.5</v>
      </c>
      <c r="G40" s="6">
        <v>150</v>
      </c>
      <c r="H40">
        <f t="shared" si="15"/>
        <v>36.833333333333336</v>
      </c>
      <c r="I40">
        <f t="shared" si="16"/>
        <v>5265</v>
      </c>
      <c r="J40">
        <f t="shared" si="17"/>
        <v>5525</v>
      </c>
      <c r="K40">
        <f t="shared" si="18"/>
        <v>4.9382716049382713E-2</v>
      </c>
      <c r="L40">
        <f t="shared" si="19"/>
        <v>-0.58823529411764697</v>
      </c>
      <c r="M40">
        <f>Assumptions!D40</f>
        <v>-0.5</v>
      </c>
      <c r="O40">
        <f t="shared" si="20"/>
        <v>58.5</v>
      </c>
      <c r="P40" s="9">
        <f t="shared" si="21"/>
        <v>29.25</v>
      </c>
      <c r="Q40" s="10">
        <f t="shared" si="22"/>
        <v>202.50000000000003</v>
      </c>
      <c r="R40" s="7">
        <f t="shared" si="11"/>
        <v>5923.1250000000009</v>
      </c>
      <c r="S40" s="7">
        <f>(Table3[[#This Row],[Proposed Revenue]]-I40)/(H40-C40)</f>
        <v>-120.00000000000013</v>
      </c>
      <c r="V40">
        <f>C40+W40*(B40)</f>
        <v>58.5</v>
      </c>
      <c r="W40">
        <f t="shared" si="23"/>
        <v>0.14444444444444443</v>
      </c>
      <c r="X40">
        <f t="shared" si="12"/>
        <v>135</v>
      </c>
    </row>
    <row r="41" spans="1:24">
      <c r="A41" t="str">
        <f>Assumptions!A41</f>
        <v>EC - Shelter E</v>
      </c>
      <c r="B41">
        <f>Assumptions!B41</f>
        <v>135</v>
      </c>
      <c r="C41">
        <f>Assumptions!C41</f>
        <v>24</v>
      </c>
      <c r="D41">
        <f>Assumptions!D41</f>
        <v>-0.5</v>
      </c>
      <c r="E41">
        <f t="shared" si="13"/>
        <v>8.8888888888888892E-2</v>
      </c>
      <c r="F41">
        <f t="shared" si="14"/>
        <v>36</v>
      </c>
      <c r="G41" s="6">
        <v>150</v>
      </c>
      <c r="H41">
        <f t="shared" si="15"/>
        <v>22.666666666666664</v>
      </c>
      <c r="I41">
        <f t="shared" si="16"/>
        <v>3240</v>
      </c>
      <c r="J41">
        <f t="shared" si="17"/>
        <v>3399.9999999999995</v>
      </c>
      <c r="K41">
        <f t="shared" si="18"/>
        <v>4.9382716049382491E-2</v>
      </c>
      <c r="L41">
        <f t="shared" si="19"/>
        <v>-0.58823529411764719</v>
      </c>
      <c r="M41">
        <f>Assumptions!D41</f>
        <v>-0.5</v>
      </c>
      <c r="O41">
        <f t="shared" si="20"/>
        <v>36</v>
      </c>
      <c r="P41" s="9">
        <f t="shared" si="21"/>
        <v>18</v>
      </c>
      <c r="Q41" s="10">
        <f t="shared" si="22"/>
        <v>202.5</v>
      </c>
      <c r="R41" s="7">
        <f t="shared" si="11"/>
        <v>3645</v>
      </c>
      <c r="S41" s="7">
        <f>(Table3[[#This Row],[Proposed Revenue]]-I41)/(H41-C41)</f>
        <v>-119.99999999999945</v>
      </c>
      <c r="V41">
        <f>C41+W41*(B41)</f>
        <v>36</v>
      </c>
      <c r="W41">
        <f t="shared" si="23"/>
        <v>8.8888888888888892E-2</v>
      </c>
      <c r="X41">
        <f t="shared" si="12"/>
        <v>135</v>
      </c>
    </row>
    <row r="42" spans="1:24">
      <c r="A42" t="str">
        <f>Assumptions!A42</f>
        <v>EC - Shelter G</v>
      </c>
      <c r="B42">
        <f>Assumptions!B42</f>
        <v>135</v>
      </c>
      <c r="C42">
        <f>Assumptions!C42</f>
        <v>46</v>
      </c>
      <c r="D42">
        <f>Assumptions!D42</f>
        <v>-0.5</v>
      </c>
      <c r="E42">
        <f t="shared" si="13"/>
        <v>0.17037037037037037</v>
      </c>
      <c r="F42">
        <f t="shared" si="14"/>
        <v>69</v>
      </c>
      <c r="G42" s="6">
        <v>150</v>
      </c>
      <c r="H42">
        <f t="shared" si="15"/>
        <v>43.444444444444443</v>
      </c>
      <c r="I42">
        <f t="shared" si="16"/>
        <v>6210</v>
      </c>
      <c r="J42">
        <f t="shared" si="17"/>
        <v>6516.6666666666661</v>
      </c>
      <c r="K42">
        <f t="shared" si="18"/>
        <v>4.9382716049382713E-2</v>
      </c>
      <c r="L42">
        <f t="shared" si="19"/>
        <v>-0.58823529411764708</v>
      </c>
      <c r="M42">
        <f>Assumptions!D42</f>
        <v>-0.5</v>
      </c>
      <c r="O42">
        <f t="shared" si="20"/>
        <v>69</v>
      </c>
      <c r="P42" s="9">
        <f t="shared" si="21"/>
        <v>34.5</v>
      </c>
      <c r="Q42" s="10">
        <f t="shared" si="22"/>
        <v>202.5</v>
      </c>
      <c r="R42" s="7">
        <f t="shared" si="11"/>
        <v>6986.25</v>
      </c>
      <c r="S42" s="7">
        <f>(Table3[[#This Row],[Proposed Revenue]]-I42)/(H42-C42)</f>
        <v>-119.99999999999969</v>
      </c>
      <c r="V42">
        <f>C42+W42*(B42)</f>
        <v>69</v>
      </c>
      <c r="W42">
        <f t="shared" si="23"/>
        <v>0.17037037037037037</v>
      </c>
      <c r="X42">
        <f t="shared" si="12"/>
        <v>135</v>
      </c>
    </row>
    <row r="43" spans="1:24">
      <c r="A43" t="str">
        <f>Assumptions!A43</f>
        <v>EC - Shelter H</v>
      </c>
      <c r="B43">
        <f>Assumptions!B43</f>
        <v>135</v>
      </c>
      <c r="C43">
        <f>Assumptions!C43</f>
        <v>64</v>
      </c>
      <c r="D43">
        <f>Assumptions!D43</f>
        <v>-0.5</v>
      </c>
      <c r="E43">
        <f t="shared" si="13"/>
        <v>0.23703703703703705</v>
      </c>
      <c r="F43">
        <f t="shared" si="14"/>
        <v>96</v>
      </c>
      <c r="G43" s="6">
        <v>150</v>
      </c>
      <c r="H43">
        <f t="shared" si="15"/>
        <v>60.444444444444443</v>
      </c>
      <c r="I43">
        <f t="shared" si="16"/>
        <v>8640</v>
      </c>
      <c r="J43">
        <f t="shared" si="17"/>
        <v>9066.6666666666661</v>
      </c>
      <c r="K43">
        <f t="shared" si="18"/>
        <v>4.9382716049382713E-2</v>
      </c>
      <c r="L43">
        <f t="shared" si="19"/>
        <v>-0.58823529411764708</v>
      </c>
      <c r="M43">
        <f>Assumptions!D43</f>
        <v>-0.5</v>
      </c>
      <c r="O43">
        <f t="shared" si="20"/>
        <v>96</v>
      </c>
      <c r="P43" s="9">
        <f t="shared" si="21"/>
        <v>48</v>
      </c>
      <c r="Q43" s="10">
        <f t="shared" si="22"/>
        <v>202.5</v>
      </c>
      <c r="R43" s="7">
        <f t="shared" si="11"/>
        <v>9720</v>
      </c>
      <c r="S43" s="7">
        <f>(Table3[[#This Row],[Proposed Revenue]]-I43)/(H43-C43)</f>
        <v>-119.99999999999977</v>
      </c>
      <c r="V43">
        <f>C43+W43*(B43)</f>
        <v>96</v>
      </c>
      <c r="W43">
        <f t="shared" si="23"/>
        <v>0.23703703703703705</v>
      </c>
      <c r="X43">
        <f t="shared" si="12"/>
        <v>135</v>
      </c>
    </row>
    <row r="44" spans="1:24">
      <c r="A44" t="str">
        <f>Assumptions!A44</f>
        <v>Edna Balz Lacy - Octagon/Gazebo Shelter</v>
      </c>
      <c r="B44">
        <f>Assumptions!B44</f>
        <v>45</v>
      </c>
      <c r="C44">
        <f>Assumptions!C44</f>
        <v>11</v>
      </c>
      <c r="D44">
        <f>Assumptions!D44</f>
        <v>-0.5</v>
      </c>
      <c r="E44">
        <f t="shared" si="13"/>
        <v>0.12222222222222222</v>
      </c>
      <c r="F44">
        <f t="shared" si="14"/>
        <v>16.5</v>
      </c>
      <c r="G44" s="6">
        <v>60</v>
      </c>
      <c r="H44">
        <f t="shared" si="15"/>
        <v>9.1666666666666679</v>
      </c>
      <c r="I44">
        <f t="shared" si="16"/>
        <v>495</v>
      </c>
      <c r="J44">
        <f t="shared" si="17"/>
        <v>550.00000000000011</v>
      </c>
      <c r="K44">
        <f t="shared" si="18"/>
        <v>0.11111111111111138</v>
      </c>
      <c r="L44">
        <f t="shared" si="19"/>
        <v>-0.79999999999999982</v>
      </c>
      <c r="M44">
        <f>Assumptions!D44</f>
        <v>-0.5</v>
      </c>
      <c r="O44">
        <f t="shared" si="20"/>
        <v>16.5</v>
      </c>
      <c r="P44" s="9">
        <f t="shared" si="21"/>
        <v>8.25</v>
      </c>
      <c r="Q44" s="10">
        <f t="shared" si="22"/>
        <v>67.5</v>
      </c>
      <c r="R44" s="7">
        <f t="shared" si="11"/>
        <v>556.875</v>
      </c>
      <c r="S44" s="7">
        <f>(Table3[[#This Row],[Proposed Revenue]]-I44)/(H44-C44)</f>
        <v>-30.000000000000082</v>
      </c>
      <c r="V44">
        <f>C44+W44*(B44)</f>
        <v>16.5</v>
      </c>
      <c r="W44">
        <f t="shared" si="23"/>
        <v>0.12222222222222222</v>
      </c>
      <c r="X44">
        <f t="shared" si="12"/>
        <v>45</v>
      </c>
    </row>
    <row r="45" spans="1:24">
      <c r="A45" t="str">
        <f>Assumptions!A45</f>
        <v>Ellenberger - Shelter 1</v>
      </c>
      <c r="B45">
        <f>Assumptions!B45</f>
        <v>75</v>
      </c>
      <c r="C45">
        <f>Assumptions!C45</f>
        <v>26</v>
      </c>
      <c r="D45">
        <f>Assumptions!D45</f>
        <v>-0.5</v>
      </c>
      <c r="E45">
        <f t="shared" si="13"/>
        <v>0.17333333333333334</v>
      </c>
      <c r="F45">
        <f t="shared" si="14"/>
        <v>39</v>
      </c>
      <c r="G45" s="6">
        <v>90</v>
      </c>
      <c r="H45">
        <f t="shared" si="15"/>
        <v>23.4</v>
      </c>
      <c r="I45">
        <f t="shared" si="16"/>
        <v>1950</v>
      </c>
      <c r="J45">
        <f t="shared" si="17"/>
        <v>2106</v>
      </c>
      <c r="K45">
        <f t="shared" si="18"/>
        <v>8.0000000000000071E-2</v>
      </c>
      <c r="L45">
        <f t="shared" si="19"/>
        <v>-0.66666666666666674</v>
      </c>
      <c r="M45">
        <f>Assumptions!D45</f>
        <v>-0.5</v>
      </c>
      <c r="O45">
        <f t="shared" si="20"/>
        <v>39</v>
      </c>
      <c r="P45" s="9">
        <f t="shared" si="21"/>
        <v>19.5</v>
      </c>
      <c r="Q45" s="10">
        <f t="shared" si="22"/>
        <v>112.5</v>
      </c>
      <c r="R45" s="7">
        <f t="shared" si="11"/>
        <v>2193.75</v>
      </c>
      <c r="S45" s="7">
        <f>(Table3[[#This Row],[Proposed Revenue]]-I45)/(H45-C45)</f>
        <v>-59.999999999999964</v>
      </c>
      <c r="V45">
        <f>C45+W45*(B45)</f>
        <v>39</v>
      </c>
      <c r="W45">
        <f t="shared" si="23"/>
        <v>0.17333333333333334</v>
      </c>
      <c r="X45">
        <f t="shared" si="12"/>
        <v>75</v>
      </c>
    </row>
    <row r="46" spans="1:24">
      <c r="A46" t="str">
        <f>Assumptions!A46</f>
        <v>Martin - Shelter #1</v>
      </c>
      <c r="B46">
        <f>Assumptions!B46</f>
        <v>85</v>
      </c>
      <c r="C46">
        <f>Assumptions!C46</f>
        <v>4</v>
      </c>
      <c r="D46">
        <f>Assumptions!D46</f>
        <v>-0.5</v>
      </c>
      <c r="E46">
        <f t="shared" si="13"/>
        <v>2.3529411764705882E-2</v>
      </c>
      <c r="F46">
        <f t="shared" si="14"/>
        <v>6</v>
      </c>
      <c r="G46" s="6">
        <v>100</v>
      </c>
      <c r="H46">
        <f t="shared" si="15"/>
        <v>3.6470588235294117</v>
      </c>
      <c r="I46">
        <f t="shared" si="16"/>
        <v>340</v>
      </c>
      <c r="J46">
        <f t="shared" si="17"/>
        <v>364.70588235294116</v>
      </c>
      <c r="K46">
        <f t="shared" si="18"/>
        <v>7.2664359861591699E-2</v>
      </c>
      <c r="L46">
        <f t="shared" si="19"/>
        <v>-0.64516129032258063</v>
      </c>
      <c r="M46">
        <f>Assumptions!D46</f>
        <v>-0.5</v>
      </c>
      <c r="O46">
        <f t="shared" si="20"/>
        <v>6</v>
      </c>
      <c r="P46" s="9">
        <f t="shared" si="21"/>
        <v>3</v>
      </c>
      <c r="Q46" s="10">
        <f t="shared" si="22"/>
        <v>127.5</v>
      </c>
      <c r="R46" s="7">
        <f t="shared" si="11"/>
        <v>382.5</v>
      </c>
      <c r="S46" s="7">
        <f>(Table3[[#This Row],[Proposed Revenue]]-I46)/(H46-C46)</f>
        <v>-69.999999999999943</v>
      </c>
      <c r="V46">
        <f>C46+W46*(B46)</f>
        <v>6</v>
      </c>
      <c r="W46">
        <f t="shared" si="23"/>
        <v>2.3529411764705882E-2</v>
      </c>
      <c r="X46">
        <f t="shared" si="12"/>
        <v>85</v>
      </c>
    </row>
    <row r="47" spans="1:24">
      <c r="A47" t="str">
        <f>Assumptions!A47</f>
        <v>Martin - Shelter #2</v>
      </c>
      <c r="B47">
        <f>Assumptions!B47</f>
        <v>85</v>
      </c>
      <c r="C47">
        <f>Assumptions!C47</f>
        <v>1</v>
      </c>
      <c r="D47">
        <f>Assumptions!D47</f>
        <v>-0.5</v>
      </c>
      <c r="E47">
        <f t="shared" si="13"/>
        <v>5.8823529411764705E-3</v>
      </c>
      <c r="F47">
        <f t="shared" si="14"/>
        <v>1.5</v>
      </c>
      <c r="G47" s="6">
        <v>100</v>
      </c>
      <c r="H47">
        <f t="shared" si="15"/>
        <v>0.91176470588235292</v>
      </c>
      <c r="I47">
        <f t="shared" si="16"/>
        <v>85</v>
      </c>
      <c r="J47">
        <f t="shared" si="17"/>
        <v>91.17647058823529</v>
      </c>
      <c r="K47">
        <f t="shared" si="18"/>
        <v>7.2664359861591699E-2</v>
      </c>
      <c r="L47">
        <f t="shared" si="19"/>
        <v>-0.64516129032258063</v>
      </c>
      <c r="M47">
        <f>Assumptions!D47</f>
        <v>-0.5</v>
      </c>
      <c r="O47">
        <f t="shared" si="20"/>
        <v>1.5</v>
      </c>
      <c r="P47" s="9">
        <f t="shared" si="21"/>
        <v>0.75</v>
      </c>
      <c r="Q47" s="10">
        <f t="shared" si="22"/>
        <v>127.5</v>
      </c>
      <c r="R47" s="7">
        <f t="shared" si="11"/>
        <v>95.625</v>
      </c>
      <c r="S47" s="7">
        <f>(Table3[[#This Row],[Proposed Revenue]]-I47)/(H47-C47)</f>
        <v>-69.999999999999943</v>
      </c>
      <c r="V47">
        <f>C47+W47*(B47)</f>
        <v>1.5</v>
      </c>
      <c r="W47">
        <f t="shared" si="23"/>
        <v>5.8823529411764705E-3</v>
      </c>
      <c r="X47">
        <f t="shared" si="12"/>
        <v>85</v>
      </c>
    </row>
    <row r="48" spans="1:24">
      <c r="A48" t="str">
        <f>Assumptions!A48</f>
        <v>Shelter #1</v>
      </c>
      <c r="B48">
        <f>Assumptions!B48</f>
        <v>0</v>
      </c>
      <c r="C48">
        <f>Assumptions!C48</f>
        <v>120</v>
      </c>
      <c r="D48">
        <f>Assumptions!D48</f>
        <v>-0.5</v>
      </c>
      <c r="E48" t="e">
        <f t="shared" si="13"/>
        <v>#DIV/0!</v>
      </c>
      <c r="F48" t="e">
        <f t="shared" si="14"/>
        <v>#DIV/0!</v>
      </c>
      <c r="G48" s="6">
        <v>15</v>
      </c>
      <c r="H48" t="e">
        <f t="shared" si="15"/>
        <v>#DIV/0!</v>
      </c>
      <c r="I48">
        <f t="shared" si="16"/>
        <v>0</v>
      </c>
      <c r="J48" t="e">
        <f t="shared" si="17"/>
        <v>#DIV/0!</v>
      </c>
      <c r="K48" t="e">
        <f t="shared" si="18"/>
        <v>#DIV/0!</v>
      </c>
      <c r="L48" t="e">
        <f t="shared" si="19"/>
        <v>#DIV/0!</v>
      </c>
      <c r="M48">
        <f>Assumptions!D48</f>
        <v>-0.5</v>
      </c>
      <c r="O48" t="e">
        <f t="shared" si="20"/>
        <v>#DIV/0!</v>
      </c>
      <c r="P48" s="9" t="e">
        <f t="shared" si="21"/>
        <v>#DIV/0!</v>
      </c>
      <c r="Q48" s="10" t="e">
        <f t="shared" si="22"/>
        <v>#DIV/0!</v>
      </c>
      <c r="R48" s="7" t="e">
        <f t="shared" si="11"/>
        <v>#DIV/0!</v>
      </c>
      <c r="S48" s="7" t="e">
        <f>(Table3[[#This Row],[Proposed Revenue]]-I48)/(H48-C48)</f>
        <v>#DIV/0!</v>
      </c>
      <c r="V48" t="e">
        <f>C48+W48*(B48)</f>
        <v>#DIV/0!</v>
      </c>
      <c r="W48" t="e">
        <f t="shared" si="23"/>
        <v>#DIV/0!</v>
      </c>
      <c r="X48">
        <f t="shared" si="12"/>
        <v>0</v>
      </c>
    </row>
    <row r="49" spans="1:24">
      <c r="A49" t="str">
        <f>Assumptions!A49</f>
        <v>FDP - Shelter #1</v>
      </c>
      <c r="B49">
        <f>Assumptions!B49</f>
        <v>135</v>
      </c>
      <c r="C49">
        <f>Assumptions!C49</f>
        <v>44</v>
      </c>
      <c r="D49">
        <f>Assumptions!D49</f>
        <v>-0.5</v>
      </c>
      <c r="E49">
        <f t="shared" si="13"/>
        <v>0.16296296296296298</v>
      </c>
      <c r="F49">
        <f t="shared" si="14"/>
        <v>66</v>
      </c>
      <c r="G49" s="6">
        <v>150</v>
      </c>
      <c r="H49">
        <f t="shared" si="15"/>
        <v>41.555555555555557</v>
      </c>
      <c r="I49">
        <f t="shared" si="16"/>
        <v>5940</v>
      </c>
      <c r="J49">
        <f t="shared" si="17"/>
        <v>6233.3333333333339</v>
      </c>
      <c r="K49">
        <f t="shared" si="18"/>
        <v>4.9382716049382713E-2</v>
      </c>
      <c r="L49">
        <f t="shared" si="19"/>
        <v>-0.58823529411764708</v>
      </c>
      <c r="M49">
        <f>Assumptions!D49</f>
        <v>-0.5</v>
      </c>
      <c r="O49">
        <f t="shared" si="20"/>
        <v>66</v>
      </c>
      <c r="P49" s="9">
        <f t="shared" si="21"/>
        <v>33</v>
      </c>
      <c r="Q49" s="10">
        <f t="shared" si="22"/>
        <v>202.49999999999997</v>
      </c>
      <c r="R49" s="7">
        <f t="shared" si="11"/>
        <v>6682.4999999999991</v>
      </c>
      <c r="S49" s="7">
        <f>(Table3[[#This Row],[Proposed Revenue]]-I49)/(H49-C49)</f>
        <v>-120.00000000000033</v>
      </c>
      <c r="V49">
        <f>C49+W49*(B49)</f>
        <v>66</v>
      </c>
      <c r="W49">
        <f t="shared" si="23"/>
        <v>0.16296296296296298</v>
      </c>
      <c r="X49">
        <f t="shared" si="12"/>
        <v>135</v>
      </c>
    </row>
    <row r="50" spans="1:24">
      <c r="A50" t="str">
        <f>Assumptions!A50</f>
        <v>FDP - Shelter #2 - Pool</v>
      </c>
      <c r="B50">
        <f>Assumptions!B50</f>
        <v>85</v>
      </c>
      <c r="C50">
        <f>Assumptions!C50</f>
        <v>22</v>
      </c>
      <c r="D50">
        <f>Assumptions!D50</f>
        <v>-0.5</v>
      </c>
      <c r="E50">
        <f t="shared" si="13"/>
        <v>0.12941176470588237</v>
      </c>
      <c r="F50">
        <f t="shared" si="14"/>
        <v>33</v>
      </c>
      <c r="G50" s="6">
        <v>100</v>
      </c>
      <c r="H50">
        <f t="shared" si="15"/>
        <v>20.058823529411761</v>
      </c>
      <c r="I50">
        <f t="shared" si="16"/>
        <v>1870</v>
      </c>
      <c r="J50">
        <f t="shared" si="17"/>
        <v>2005.8823529411761</v>
      </c>
      <c r="K50">
        <f t="shared" si="18"/>
        <v>7.2664359861591477E-2</v>
      </c>
      <c r="L50">
        <f t="shared" si="19"/>
        <v>-0.64516129032258085</v>
      </c>
      <c r="M50">
        <f>Assumptions!D50</f>
        <v>-0.5</v>
      </c>
      <c r="O50">
        <f t="shared" si="20"/>
        <v>33</v>
      </c>
      <c r="P50" s="9">
        <f t="shared" si="21"/>
        <v>16.5</v>
      </c>
      <c r="Q50" s="10">
        <f t="shared" si="22"/>
        <v>127.49999999999999</v>
      </c>
      <c r="R50" s="7">
        <f t="shared" si="11"/>
        <v>2103.7499999999995</v>
      </c>
      <c r="S50" s="7">
        <f>(Table3[[#This Row],[Proposed Revenue]]-I50)/(H50-C50)</f>
        <v>-69.999999999999687</v>
      </c>
      <c r="V50">
        <f>C50+W50*(B50)</f>
        <v>33</v>
      </c>
      <c r="W50">
        <f t="shared" si="23"/>
        <v>0.12941176470588237</v>
      </c>
      <c r="X50">
        <f t="shared" si="12"/>
        <v>85</v>
      </c>
    </row>
    <row r="51" spans="1:24">
      <c r="A51" t="str">
        <f>Assumptions!A51</f>
        <v>Garfield - Shelter - Corporate</v>
      </c>
      <c r="B51">
        <f>Assumptions!B51</f>
        <v>285</v>
      </c>
      <c r="C51">
        <f>Assumptions!C51</f>
        <v>105</v>
      </c>
      <c r="D51">
        <f>Assumptions!D51</f>
        <v>-0.5</v>
      </c>
      <c r="E51">
        <f t="shared" si="13"/>
        <v>0.18421052631578946</v>
      </c>
      <c r="F51">
        <f t="shared" si="14"/>
        <v>157.5</v>
      </c>
      <c r="G51" s="6">
        <v>300</v>
      </c>
      <c r="H51">
        <f t="shared" si="15"/>
        <v>102.23684210526315</v>
      </c>
      <c r="I51">
        <f t="shared" si="16"/>
        <v>29925</v>
      </c>
      <c r="J51">
        <f t="shared" si="17"/>
        <v>30671.052631578947</v>
      </c>
      <c r="K51">
        <f t="shared" si="18"/>
        <v>2.4930747922437657E-2</v>
      </c>
      <c r="L51">
        <f t="shared" si="19"/>
        <v>-0.54054054054054057</v>
      </c>
      <c r="M51">
        <f>Assumptions!D51</f>
        <v>-0.5</v>
      </c>
      <c r="O51">
        <f t="shared" si="20"/>
        <v>157.5</v>
      </c>
      <c r="P51" s="9">
        <f t="shared" si="21"/>
        <v>78.75</v>
      </c>
      <c r="Q51" s="10">
        <f t="shared" si="22"/>
        <v>427.5</v>
      </c>
      <c r="R51" s="7">
        <f t="shared" si="11"/>
        <v>33665.625</v>
      </c>
      <c r="S51" s="7">
        <f>(Table3[[#This Row],[Proposed Revenue]]-I51)/(H51-C51)</f>
        <v>-269.99999999999898</v>
      </c>
      <c r="V51">
        <f>C51+W51*(B51)</f>
        <v>157.5</v>
      </c>
      <c r="W51">
        <f t="shared" si="23"/>
        <v>0.18421052631578946</v>
      </c>
      <c r="X51">
        <f t="shared" si="12"/>
        <v>285</v>
      </c>
    </row>
    <row r="52" spans="1:24">
      <c r="A52" t="str">
        <f>Assumptions!A52</f>
        <v>Garfield - Shelter - Ellis</v>
      </c>
      <c r="B52">
        <f>Assumptions!B52</f>
        <v>135</v>
      </c>
      <c r="C52">
        <f>Assumptions!C52</f>
        <v>82</v>
      </c>
      <c r="D52">
        <f>Assumptions!D52</f>
        <v>-0.5</v>
      </c>
      <c r="E52">
        <f t="shared" si="13"/>
        <v>0.3037037037037037</v>
      </c>
      <c r="F52">
        <f t="shared" si="14"/>
        <v>123</v>
      </c>
      <c r="G52" s="6">
        <v>150</v>
      </c>
      <c r="H52">
        <f t="shared" si="15"/>
        <v>77.444444444444443</v>
      </c>
      <c r="I52">
        <f t="shared" si="16"/>
        <v>11070</v>
      </c>
      <c r="J52">
        <f t="shared" si="17"/>
        <v>11616.666666666666</v>
      </c>
      <c r="K52">
        <f t="shared" si="18"/>
        <v>4.9382716049382713E-2</v>
      </c>
      <c r="L52">
        <f t="shared" si="19"/>
        <v>-0.58823529411764708</v>
      </c>
      <c r="M52">
        <f>Assumptions!D52</f>
        <v>-0.5</v>
      </c>
      <c r="O52">
        <f t="shared" si="20"/>
        <v>123</v>
      </c>
      <c r="P52" s="9">
        <f t="shared" si="21"/>
        <v>61.5</v>
      </c>
      <c r="Q52" s="10">
        <f t="shared" si="22"/>
        <v>202.5</v>
      </c>
      <c r="R52" s="7">
        <f t="shared" si="11"/>
        <v>12453.75</v>
      </c>
      <c r="S52" s="7">
        <f>(Table3[[#This Row],[Proposed Revenue]]-I52)/(H52-C52)</f>
        <v>-119.99999999999983</v>
      </c>
      <c r="V52">
        <f>C52+W52*(B52)</f>
        <v>123</v>
      </c>
      <c r="W52">
        <f t="shared" si="23"/>
        <v>0.3037037037037037</v>
      </c>
      <c r="X52">
        <f t="shared" si="12"/>
        <v>135</v>
      </c>
    </row>
    <row r="53" spans="1:24">
      <c r="A53" t="str">
        <f>Assumptions!A53</f>
        <v>Garfield - Shelter - Pagoda</v>
      </c>
      <c r="B53">
        <f>Assumptions!B53</f>
        <v>285</v>
      </c>
      <c r="C53">
        <f>Assumptions!C53</f>
        <v>76</v>
      </c>
      <c r="D53">
        <f>Assumptions!D53</f>
        <v>-0.5</v>
      </c>
      <c r="E53">
        <f t="shared" si="13"/>
        <v>0.13333333333333333</v>
      </c>
      <c r="F53">
        <f t="shared" si="14"/>
        <v>114</v>
      </c>
      <c r="G53" s="6">
        <v>300</v>
      </c>
      <c r="H53">
        <f t="shared" si="15"/>
        <v>74</v>
      </c>
      <c r="I53">
        <f t="shared" si="16"/>
        <v>21660</v>
      </c>
      <c r="J53">
        <f t="shared" si="17"/>
        <v>22200</v>
      </c>
      <c r="K53">
        <f t="shared" si="18"/>
        <v>2.4930747922437657E-2</v>
      </c>
      <c r="L53">
        <f t="shared" si="19"/>
        <v>-0.54054054054054057</v>
      </c>
      <c r="M53">
        <f>Assumptions!D53</f>
        <v>-0.5</v>
      </c>
      <c r="O53">
        <f t="shared" si="20"/>
        <v>114</v>
      </c>
      <c r="P53" s="9">
        <f t="shared" si="21"/>
        <v>57</v>
      </c>
      <c r="Q53" s="10">
        <f t="shared" si="22"/>
        <v>427.5</v>
      </c>
      <c r="R53" s="7">
        <f t="shared" si="11"/>
        <v>24367.5</v>
      </c>
      <c r="S53" s="7">
        <f>(Table3[[#This Row],[Proposed Revenue]]-I53)/(H53-C53)</f>
        <v>-270</v>
      </c>
      <c r="V53">
        <f>C53+W53*(B53)</f>
        <v>114</v>
      </c>
      <c r="W53">
        <f t="shared" si="23"/>
        <v>0.13333333333333333</v>
      </c>
      <c r="X53">
        <f t="shared" si="12"/>
        <v>285</v>
      </c>
    </row>
    <row r="54" spans="1:24">
      <c r="A54" t="str">
        <f>Assumptions!A54</f>
        <v>Garfield - Shelter - Playground</v>
      </c>
      <c r="B54">
        <f>Assumptions!B54</f>
        <v>135</v>
      </c>
      <c r="C54">
        <f>Assumptions!C54</f>
        <v>62</v>
      </c>
      <c r="D54">
        <f>Assumptions!D54</f>
        <v>-0.5</v>
      </c>
      <c r="E54">
        <f t="shared" si="13"/>
        <v>0.22962962962962963</v>
      </c>
      <c r="F54">
        <f t="shared" si="14"/>
        <v>93</v>
      </c>
      <c r="G54" s="6">
        <v>150</v>
      </c>
      <c r="H54">
        <f t="shared" si="15"/>
        <v>58.555555555555557</v>
      </c>
      <c r="I54">
        <f t="shared" si="16"/>
        <v>8370</v>
      </c>
      <c r="J54">
        <f t="shared" si="17"/>
        <v>8783.3333333333339</v>
      </c>
      <c r="K54">
        <f t="shared" si="18"/>
        <v>4.9382716049382713E-2</v>
      </c>
      <c r="L54">
        <f t="shared" si="19"/>
        <v>-0.58823529411764697</v>
      </c>
      <c r="M54">
        <f>Assumptions!D54</f>
        <v>-0.5</v>
      </c>
      <c r="O54">
        <f t="shared" si="20"/>
        <v>93</v>
      </c>
      <c r="P54" s="9">
        <f t="shared" si="21"/>
        <v>46.5</v>
      </c>
      <c r="Q54" s="10">
        <f t="shared" si="22"/>
        <v>202.5</v>
      </c>
      <c r="R54" s="7">
        <f t="shared" si="11"/>
        <v>9416.25</v>
      </c>
      <c r="S54" s="7">
        <f>(Table3[[#This Row],[Proposed Revenue]]-I54)/(H54-C54)</f>
        <v>-120.00000000000023</v>
      </c>
      <c r="V54">
        <f>C54+W54*(B54)</f>
        <v>93</v>
      </c>
      <c r="W54">
        <f t="shared" si="23"/>
        <v>0.22962962962962963</v>
      </c>
      <c r="X54">
        <f t="shared" si="12"/>
        <v>135</v>
      </c>
    </row>
    <row r="55" spans="1:24">
      <c r="A55" t="str">
        <f>Assumptions!A55</f>
        <v>Garfield - Shelter - Pool</v>
      </c>
      <c r="B55">
        <f>Assumptions!B55</f>
        <v>135</v>
      </c>
      <c r="C55">
        <f>Assumptions!C55</f>
        <v>41</v>
      </c>
      <c r="D55">
        <f>Assumptions!D55</f>
        <v>-0.5</v>
      </c>
      <c r="E55">
        <f t="shared" si="13"/>
        <v>0.15185185185185185</v>
      </c>
      <c r="F55">
        <f t="shared" si="14"/>
        <v>61.5</v>
      </c>
      <c r="G55" s="6">
        <v>150</v>
      </c>
      <c r="H55">
        <f t="shared" si="15"/>
        <v>38.722222222222221</v>
      </c>
      <c r="I55">
        <f t="shared" si="16"/>
        <v>5535</v>
      </c>
      <c r="J55">
        <f t="shared" si="17"/>
        <v>5808.333333333333</v>
      </c>
      <c r="K55">
        <f t="shared" si="18"/>
        <v>4.9382716049382713E-2</v>
      </c>
      <c r="L55">
        <f t="shared" si="19"/>
        <v>-0.58823529411764708</v>
      </c>
      <c r="M55">
        <f>Assumptions!D55</f>
        <v>-0.5</v>
      </c>
      <c r="O55">
        <f t="shared" si="20"/>
        <v>61.5</v>
      </c>
      <c r="P55" s="9">
        <f t="shared" si="21"/>
        <v>30.75</v>
      </c>
      <c r="Q55" s="10">
        <f t="shared" si="22"/>
        <v>202.5</v>
      </c>
      <c r="R55" s="7">
        <f t="shared" si="11"/>
        <v>6226.875</v>
      </c>
      <c r="S55" s="7">
        <f>(Table3[[#This Row],[Proposed Revenue]]-I55)/(H55-C55)</f>
        <v>-119.99999999999983</v>
      </c>
      <c r="V55">
        <f>C55+W55*(B55)</f>
        <v>61.5</v>
      </c>
      <c r="W55">
        <f t="shared" si="23"/>
        <v>0.15185185185185185</v>
      </c>
      <c r="X55">
        <f t="shared" si="12"/>
        <v>135</v>
      </c>
    </row>
    <row r="56" spans="1:24">
      <c r="A56" t="str">
        <f>Assumptions!A56</f>
        <v>Garfield - Shelter - South Grove</v>
      </c>
      <c r="B56">
        <f>Assumptions!B56</f>
        <v>135</v>
      </c>
      <c r="C56">
        <f>Assumptions!C56</f>
        <v>36</v>
      </c>
      <c r="D56">
        <f>Assumptions!D56</f>
        <v>-0.5</v>
      </c>
      <c r="E56">
        <f t="shared" si="13"/>
        <v>0.13333333333333333</v>
      </c>
      <c r="F56">
        <f t="shared" si="14"/>
        <v>54</v>
      </c>
      <c r="G56" s="6">
        <v>150</v>
      </c>
      <c r="H56">
        <f t="shared" si="15"/>
        <v>34</v>
      </c>
      <c r="I56">
        <f t="shared" si="16"/>
        <v>4860</v>
      </c>
      <c r="J56">
        <f t="shared" si="17"/>
        <v>5100</v>
      </c>
      <c r="K56">
        <f t="shared" si="18"/>
        <v>4.9382716049382713E-2</v>
      </c>
      <c r="L56">
        <f t="shared" si="19"/>
        <v>-0.58823529411764708</v>
      </c>
      <c r="M56">
        <f>Assumptions!D56</f>
        <v>-0.5</v>
      </c>
      <c r="O56">
        <f t="shared" si="20"/>
        <v>54</v>
      </c>
      <c r="P56" s="9">
        <f t="shared" si="21"/>
        <v>27</v>
      </c>
      <c r="Q56" s="10">
        <f t="shared" si="22"/>
        <v>202.5</v>
      </c>
      <c r="R56" s="7">
        <f t="shared" si="11"/>
        <v>5467.5</v>
      </c>
      <c r="S56" s="7">
        <f>(Table3[[#This Row],[Proposed Revenue]]-I56)/(H56-C56)</f>
        <v>-120</v>
      </c>
      <c r="V56">
        <f>C56+W56*(B56)</f>
        <v>54</v>
      </c>
      <c r="W56">
        <f t="shared" si="23"/>
        <v>0.13333333333333333</v>
      </c>
      <c r="X56">
        <f t="shared" si="12"/>
        <v>135</v>
      </c>
    </row>
    <row r="57" spans="1:24">
      <c r="A57" t="str">
        <f>Assumptions!A57</f>
        <v>Grassy Creek - Shelter 5</v>
      </c>
      <c r="B57">
        <f>Assumptions!B57</f>
        <v>110</v>
      </c>
      <c r="C57">
        <f>Assumptions!C57</f>
        <v>24</v>
      </c>
      <c r="D57">
        <f>Assumptions!D57</f>
        <v>-0.5</v>
      </c>
      <c r="E57">
        <f t="shared" si="13"/>
        <v>0.10909090909090909</v>
      </c>
      <c r="F57">
        <f t="shared" si="14"/>
        <v>36</v>
      </c>
      <c r="G57" s="6">
        <v>125</v>
      </c>
      <c r="H57">
        <f t="shared" si="15"/>
        <v>22.363636363636367</v>
      </c>
      <c r="I57">
        <f t="shared" si="16"/>
        <v>2640</v>
      </c>
      <c r="J57">
        <f t="shared" si="17"/>
        <v>2795.454545454546</v>
      </c>
      <c r="K57">
        <f t="shared" si="18"/>
        <v>5.8884297520661377E-2</v>
      </c>
      <c r="L57">
        <f t="shared" si="19"/>
        <v>-0.60975609756097549</v>
      </c>
      <c r="M57">
        <f>Assumptions!D57</f>
        <v>-0.5</v>
      </c>
      <c r="O57">
        <f t="shared" si="20"/>
        <v>36</v>
      </c>
      <c r="P57" s="9">
        <f t="shared" si="21"/>
        <v>18</v>
      </c>
      <c r="Q57" s="10">
        <f t="shared" si="22"/>
        <v>165</v>
      </c>
      <c r="R57" s="7">
        <f t="shared" si="11"/>
        <v>2970</v>
      </c>
      <c r="S57" s="7">
        <f>(Table3[[#This Row],[Proposed Revenue]]-I57)/(H57-C57)</f>
        <v>-95.000000000000497</v>
      </c>
      <c r="V57">
        <f>C57+W57*(B57)</f>
        <v>36</v>
      </c>
      <c r="W57">
        <f t="shared" si="23"/>
        <v>0.10909090909090909</v>
      </c>
      <c r="X57">
        <f t="shared" si="12"/>
        <v>110</v>
      </c>
    </row>
    <row r="58" spans="1:24">
      <c r="A58" t="str">
        <f>Assumptions!A58</f>
        <v>Gustafson - Shelter</v>
      </c>
      <c r="B58">
        <f>Assumptions!B58</f>
        <v>85</v>
      </c>
      <c r="C58">
        <f>Assumptions!C58</f>
        <v>2</v>
      </c>
      <c r="D58">
        <f>Assumptions!D58</f>
        <v>-0.5</v>
      </c>
      <c r="E58">
        <f t="shared" si="13"/>
        <v>1.1764705882352941E-2</v>
      </c>
      <c r="F58">
        <f t="shared" si="14"/>
        <v>3</v>
      </c>
      <c r="G58" s="6">
        <v>100</v>
      </c>
      <c r="H58">
        <f t="shared" si="15"/>
        <v>1.8235294117647058</v>
      </c>
      <c r="I58">
        <f t="shared" si="16"/>
        <v>170</v>
      </c>
      <c r="J58">
        <f t="shared" si="17"/>
        <v>182.35294117647058</v>
      </c>
      <c r="K58">
        <f t="shared" si="18"/>
        <v>7.2664359861591699E-2</v>
      </c>
      <c r="L58">
        <f t="shared" si="19"/>
        <v>-0.64516129032258063</v>
      </c>
      <c r="M58">
        <f>Assumptions!D58</f>
        <v>-0.5</v>
      </c>
      <c r="O58">
        <f t="shared" si="20"/>
        <v>3</v>
      </c>
      <c r="P58" s="9">
        <f t="shared" si="21"/>
        <v>1.5</v>
      </c>
      <c r="Q58" s="10">
        <f t="shared" si="22"/>
        <v>127.5</v>
      </c>
      <c r="R58" s="7">
        <f t="shared" si="11"/>
        <v>191.25</v>
      </c>
      <c r="S58" s="7">
        <f>(Table3[[#This Row],[Proposed Revenue]]-I58)/(H58-C58)</f>
        <v>-69.999999999999943</v>
      </c>
      <c r="V58">
        <f>C58+W58*(B58)</f>
        <v>3</v>
      </c>
      <c r="W58">
        <f t="shared" si="23"/>
        <v>1.1764705882352941E-2</v>
      </c>
      <c r="X58">
        <f t="shared" si="12"/>
        <v>85</v>
      </c>
    </row>
    <row r="59" spans="1:24">
      <c r="A59" t="str">
        <f>Assumptions!A59</f>
        <v>Haughville - Shelter #1</v>
      </c>
      <c r="B59">
        <f>Assumptions!B59</f>
        <v>45</v>
      </c>
      <c r="C59">
        <f>Assumptions!C59</f>
        <v>4</v>
      </c>
      <c r="D59">
        <f>Assumptions!D59</f>
        <v>-0.5</v>
      </c>
      <c r="E59">
        <f t="shared" si="13"/>
        <v>4.4444444444444446E-2</v>
      </c>
      <c r="F59">
        <f t="shared" si="14"/>
        <v>6</v>
      </c>
      <c r="G59" s="6">
        <v>60</v>
      </c>
      <c r="H59">
        <f t="shared" si="15"/>
        <v>3.333333333333333</v>
      </c>
      <c r="I59">
        <f t="shared" si="16"/>
        <v>180</v>
      </c>
      <c r="J59">
        <f t="shared" si="17"/>
        <v>199.99999999999997</v>
      </c>
      <c r="K59">
        <f t="shared" si="18"/>
        <v>0.11111111111111094</v>
      </c>
      <c r="L59">
        <f t="shared" si="19"/>
        <v>-0.80000000000000016</v>
      </c>
      <c r="M59">
        <f>Assumptions!D59</f>
        <v>-0.5</v>
      </c>
      <c r="O59">
        <f t="shared" si="20"/>
        <v>6</v>
      </c>
      <c r="P59" s="9">
        <f t="shared" si="21"/>
        <v>3</v>
      </c>
      <c r="Q59" s="10">
        <f t="shared" si="22"/>
        <v>67.5</v>
      </c>
      <c r="R59" s="7">
        <f t="shared" si="11"/>
        <v>202.5</v>
      </c>
      <c r="S59" s="7">
        <f>(Table3[[#This Row],[Proposed Revenue]]-I59)/(H59-C59)</f>
        <v>-29.999999999999943</v>
      </c>
      <c r="V59">
        <f>C59+W59*(B59)</f>
        <v>6</v>
      </c>
      <c r="W59">
        <f t="shared" si="23"/>
        <v>4.4444444444444446E-2</v>
      </c>
      <c r="X59">
        <f t="shared" si="12"/>
        <v>45</v>
      </c>
    </row>
    <row r="60" spans="1:24">
      <c r="A60" t="str">
        <f>Assumptions!A60</f>
        <v>Haughville - Shelter #2</v>
      </c>
      <c r="B60">
        <f>Assumptions!B60</f>
        <v>45</v>
      </c>
      <c r="C60">
        <f>Assumptions!C60</f>
        <v>2</v>
      </c>
      <c r="D60">
        <f>Assumptions!D60</f>
        <v>-0.5</v>
      </c>
      <c r="E60">
        <f t="shared" si="13"/>
        <v>2.2222222222222223E-2</v>
      </c>
      <c r="F60">
        <f t="shared" si="14"/>
        <v>3</v>
      </c>
      <c r="G60" s="6">
        <v>60</v>
      </c>
      <c r="H60">
        <f t="shared" si="15"/>
        <v>1.6666666666666665</v>
      </c>
      <c r="I60">
        <f t="shared" si="16"/>
        <v>90</v>
      </c>
      <c r="J60">
        <f t="shared" si="17"/>
        <v>99.999999999999986</v>
      </c>
      <c r="K60">
        <f t="shared" si="18"/>
        <v>0.11111111111111094</v>
      </c>
      <c r="L60">
        <f t="shared" si="19"/>
        <v>-0.80000000000000016</v>
      </c>
      <c r="M60">
        <f>Assumptions!D60</f>
        <v>-0.5</v>
      </c>
      <c r="O60">
        <f t="shared" si="20"/>
        <v>3</v>
      </c>
      <c r="P60" s="9">
        <f t="shared" si="21"/>
        <v>1.5</v>
      </c>
      <c r="Q60" s="10">
        <f t="shared" si="22"/>
        <v>67.5</v>
      </c>
      <c r="R60" s="7">
        <f t="shared" si="11"/>
        <v>101.25</v>
      </c>
      <c r="S60" s="7">
        <f>(Table3[[#This Row],[Proposed Revenue]]-I60)/(H60-C60)</f>
        <v>-29.999999999999943</v>
      </c>
      <c r="V60">
        <f>C60+W60*(B60)</f>
        <v>3</v>
      </c>
      <c r="W60">
        <f t="shared" si="23"/>
        <v>2.2222222222222223E-2</v>
      </c>
      <c r="X60">
        <f t="shared" si="12"/>
        <v>45</v>
      </c>
    </row>
    <row r="61" spans="1:24">
      <c r="A61" t="str">
        <f>Assumptions!A61</f>
        <v>Hendricks - Shelter</v>
      </c>
      <c r="B61">
        <f>Assumptions!B61</f>
        <v>45</v>
      </c>
      <c r="C61">
        <f>Assumptions!C61</f>
        <v>1</v>
      </c>
      <c r="D61">
        <f>Assumptions!D61</f>
        <v>-0.5</v>
      </c>
      <c r="E61">
        <f t="shared" si="13"/>
        <v>1.1111111111111112E-2</v>
      </c>
      <c r="F61">
        <f t="shared" si="14"/>
        <v>1.5</v>
      </c>
      <c r="G61" s="6">
        <v>60</v>
      </c>
      <c r="H61">
        <f t="shared" si="15"/>
        <v>0.83333333333333326</v>
      </c>
      <c r="I61">
        <f t="shared" si="16"/>
        <v>45</v>
      </c>
      <c r="J61">
        <f t="shared" si="17"/>
        <v>49.999999999999993</v>
      </c>
      <c r="K61">
        <f t="shared" si="18"/>
        <v>0.11111111111111094</v>
      </c>
      <c r="L61">
        <f t="shared" si="19"/>
        <v>-0.80000000000000016</v>
      </c>
      <c r="M61">
        <f>Assumptions!D61</f>
        <v>-0.5</v>
      </c>
      <c r="O61">
        <f t="shared" si="20"/>
        <v>1.5</v>
      </c>
      <c r="P61" s="9">
        <f t="shared" si="21"/>
        <v>0.75</v>
      </c>
      <c r="Q61" s="10">
        <f t="shared" si="22"/>
        <v>67.5</v>
      </c>
      <c r="R61" s="7">
        <f t="shared" si="11"/>
        <v>50.625</v>
      </c>
      <c r="S61" s="7">
        <f>(Table3[[#This Row],[Proposed Revenue]]-I61)/(H61-C61)</f>
        <v>-29.999999999999943</v>
      </c>
      <c r="V61">
        <f>C61+W61*(B61)</f>
        <v>1.5</v>
      </c>
      <c r="W61">
        <f t="shared" si="23"/>
        <v>1.1111111111111112E-2</v>
      </c>
      <c r="X61">
        <f t="shared" si="12"/>
        <v>45</v>
      </c>
    </row>
    <row r="62" spans="1:24">
      <c r="A62" t="str">
        <f>Assumptions!A62</f>
        <v>Highland - Shelter</v>
      </c>
      <c r="B62">
        <f>Assumptions!B62</f>
        <v>45</v>
      </c>
      <c r="C62">
        <f>Assumptions!C62</f>
        <v>4</v>
      </c>
      <c r="D62">
        <f>Assumptions!D62</f>
        <v>-0.5</v>
      </c>
      <c r="E62">
        <f t="shared" si="13"/>
        <v>4.4444444444444446E-2</v>
      </c>
      <c r="F62">
        <f t="shared" si="14"/>
        <v>6</v>
      </c>
      <c r="G62" s="6">
        <v>60</v>
      </c>
      <c r="H62">
        <f t="shared" si="15"/>
        <v>3.333333333333333</v>
      </c>
      <c r="I62">
        <f t="shared" si="16"/>
        <v>180</v>
      </c>
      <c r="J62">
        <f t="shared" si="17"/>
        <v>199.99999999999997</v>
      </c>
      <c r="K62">
        <f t="shared" si="18"/>
        <v>0.11111111111111094</v>
      </c>
      <c r="L62">
        <f t="shared" si="19"/>
        <v>-0.80000000000000016</v>
      </c>
      <c r="M62">
        <f>Assumptions!D62</f>
        <v>-0.5</v>
      </c>
      <c r="O62">
        <f t="shared" si="20"/>
        <v>6</v>
      </c>
      <c r="P62" s="9">
        <f t="shared" si="21"/>
        <v>3</v>
      </c>
      <c r="Q62" s="10">
        <f t="shared" si="22"/>
        <v>67.5</v>
      </c>
      <c r="R62" s="7">
        <f t="shared" si="11"/>
        <v>202.5</v>
      </c>
      <c r="S62" s="7">
        <f>(Table3[[#This Row],[Proposed Revenue]]-I62)/(H62-C62)</f>
        <v>-29.999999999999943</v>
      </c>
      <c r="V62">
        <f>C62+W62*(B62)</f>
        <v>6</v>
      </c>
      <c r="W62">
        <f t="shared" si="23"/>
        <v>4.4444444444444446E-2</v>
      </c>
      <c r="X62">
        <f t="shared" si="12"/>
        <v>45</v>
      </c>
    </row>
    <row r="63" spans="1:24">
      <c r="A63" t="str">
        <f>Assumptions!A63</f>
        <v>JTV Hill - Shelter #1</v>
      </c>
      <c r="B63">
        <f>Assumptions!B63</f>
        <v>85</v>
      </c>
      <c r="C63">
        <f>Assumptions!C63</f>
        <v>2</v>
      </c>
      <c r="D63">
        <f>Assumptions!D63</f>
        <v>-0.5</v>
      </c>
      <c r="E63">
        <f t="shared" si="13"/>
        <v>1.1764705882352941E-2</v>
      </c>
      <c r="F63">
        <f t="shared" si="14"/>
        <v>3</v>
      </c>
      <c r="G63" s="6">
        <v>100</v>
      </c>
      <c r="H63">
        <f t="shared" si="15"/>
        <v>1.8235294117647058</v>
      </c>
      <c r="I63">
        <f t="shared" si="16"/>
        <v>170</v>
      </c>
      <c r="J63">
        <f t="shared" si="17"/>
        <v>182.35294117647058</v>
      </c>
      <c r="K63">
        <f t="shared" si="18"/>
        <v>7.2664359861591699E-2</v>
      </c>
      <c r="L63">
        <f t="shared" si="19"/>
        <v>-0.64516129032258063</v>
      </c>
      <c r="M63">
        <f>Assumptions!D63</f>
        <v>-0.5</v>
      </c>
      <c r="O63">
        <f t="shared" si="20"/>
        <v>3</v>
      </c>
      <c r="P63" s="9">
        <f t="shared" si="21"/>
        <v>1.5</v>
      </c>
      <c r="Q63" s="10">
        <f t="shared" si="22"/>
        <v>127.5</v>
      </c>
      <c r="R63" s="7">
        <f t="shared" si="11"/>
        <v>191.25</v>
      </c>
      <c r="S63" s="7">
        <f>(Table3[[#This Row],[Proposed Revenue]]-I63)/(H63-C63)</f>
        <v>-69.999999999999943</v>
      </c>
      <c r="V63">
        <f>C63+W63*(B63)</f>
        <v>3</v>
      </c>
      <c r="W63">
        <f t="shared" si="23"/>
        <v>1.1764705882352941E-2</v>
      </c>
      <c r="X63">
        <f t="shared" si="12"/>
        <v>85</v>
      </c>
    </row>
    <row r="64" spans="1:24">
      <c r="A64" t="str">
        <f>Assumptions!A64</f>
        <v>Juan Solomon - Shelter</v>
      </c>
      <c r="B64">
        <f>Assumptions!B64</f>
        <v>85</v>
      </c>
      <c r="C64">
        <f>Assumptions!C64</f>
        <v>40</v>
      </c>
      <c r="D64">
        <f>Assumptions!D64</f>
        <v>-0.5</v>
      </c>
      <c r="E64">
        <f t="shared" si="13"/>
        <v>0.23529411764705882</v>
      </c>
      <c r="F64">
        <f t="shared" si="14"/>
        <v>60</v>
      </c>
      <c r="G64" s="6">
        <v>100</v>
      </c>
      <c r="H64">
        <f t="shared" si="15"/>
        <v>36.470588235294116</v>
      </c>
      <c r="I64">
        <f t="shared" si="16"/>
        <v>3400</v>
      </c>
      <c r="J64">
        <f t="shared" si="17"/>
        <v>3647.0588235294117</v>
      </c>
      <c r="K64">
        <f t="shared" si="18"/>
        <v>7.2664359861591699E-2</v>
      </c>
      <c r="L64">
        <f t="shared" si="19"/>
        <v>-0.64516129032258063</v>
      </c>
      <c r="M64">
        <f>Assumptions!D64</f>
        <v>-0.5</v>
      </c>
      <c r="O64">
        <f t="shared" si="20"/>
        <v>60</v>
      </c>
      <c r="P64" s="9">
        <f t="shared" si="21"/>
        <v>30</v>
      </c>
      <c r="Q64" s="10">
        <f t="shared" si="22"/>
        <v>127.5</v>
      </c>
      <c r="R64" s="7">
        <f t="shared" si="11"/>
        <v>3825</v>
      </c>
      <c r="S64" s="7">
        <f>(Table3[[#This Row],[Proposed Revenue]]-I64)/(H64-C64)</f>
        <v>-69.999999999999957</v>
      </c>
      <c r="V64">
        <f>C64+W64*(B64)</f>
        <v>60</v>
      </c>
      <c r="W64">
        <f t="shared" si="23"/>
        <v>0.23529411764705882</v>
      </c>
      <c r="X64">
        <f t="shared" si="12"/>
        <v>85</v>
      </c>
    </row>
    <row r="65" spans="1:24">
      <c r="A65" t="str">
        <f>Assumptions!A65</f>
        <v>Krannert - Shelter -Large (#1)</v>
      </c>
      <c r="B65">
        <f>Assumptions!B65</f>
        <v>110</v>
      </c>
      <c r="C65">
        <f>Assumptions!C65</f>
        <v>74</v>
      </c>
      <c r="D65">
        <f>Assumptions!D65</f>
        <v>-0.5</v>
      </c>
      <c r="E65">
        <f t="shared" si="13"/>
        <v>0.33636363636363636</v>
      </c>
      <c r="F65">
        <f t="shared" si="14"/>
        <v>111</v>
      </c>
      <c r="G65" s="6">
        <v>125</v>
      </c>
      <c r="H65">
        <f t="shared" si="15"/>
        <v>68.954545454545453</v>
      </c>
      <c r="I65">
        <f t="shared" si="16"/>
        <v>8140</v>
      </c>
      <c r="J65">
        <f t="shared" si="17"/>
        <v>8619.318181818182</v>
      </c>
      <c r="K65">
        <f t="shared" si="18"/>
        <v>5.8884297520661155E-2</v>
      </c>
      <c r="L65">
        <f t="shared" si="19"/>
        <v>-0.6097560975609756</v>
      </c>
      <c r="M65">
        <f>Assumptions!D65</f>
        <v>-0.5</v>
      </c>
      <c r="O65">
        <f t="shared" si="20"/>
        <v>111</v>
      </c>
      <c r="P65" s="9">
        <f t="shared" si="21"/>
        <v>55.5</v>
      </c>
      <c r="Q65" s="10">
        <f t="shared" si="22"/>
        <v>165</v>
      </c>
      <c r="R65" s="7">
        <f t="shared" si="11"/>
        <v>9157.5</v>
      </c>
      <c r="S65" s="7">
        <f>(Table3[[#This Row],[Proposed Revenue]]-I65)/(H65-C65)</f>
        <v>-95.000000000000014</v>
      </c>
      <c r="V65">
        <f>C65+W65*(B65)</f>
        <v>111</v>
      </c>
      <c r="W65">
        <f t="shared" si="23"/>
        <v>0.33636363636363636</v>
      </c>
      <c r="X65">
        <f t="shared" si="12"/>
        <v>110</v>
      </c>
    </row>
    <row r="66" spans="1:24">
      <c r="A66" t="str">
        <f>Assumptions!A66</f>
        <v>Krannert - Shelter -Small (#2)</v>
      </c>
      <c r="B66">
        <f>Assumptions!B66</f>
        <v>85</v>
      </c>
      <c r="C66">
        <f>Assumptions!C66</f>
        <v>30</v>
      </c>
      <c r="D66">
        <f>Assumptions!D66</f>
        <v>-0.5</v>
      </c>
      <c r="E66">
        <f t="shared" ref="E66:E97" si="24">-1*D66*C66/B66</f>
        <v>0.17647058823529413</v>
      </c>
      <c r="F66">
        <f t="shared" ref="F66:F97" si="25">C66+E66*B66</f>
        <v>45</v>
      </c>
      <c r="G66" s="6">
        <v>100</v>
      </c>
      <c r="H66">
        <f t="shared" ref="H66:H97" si="26">F66-E66*G66</f>
        <v>27.352941176470587</v>
      </c>
      <c r="I66">
        <f t="shared" ref="I66:I114" si="27">B66*C66</f>
        <v>2550</v>
      </c>
      <c r="J66">
        <f t="shared" ref="J66:J100" si="28">G66*H66</f>
        <v>2735.2941176470586</v>
      </c>
      <c r="K66">
        <f t="shared" ref="K66:K97" si="29">J66/I66-1</f>
        <v>7.2664359861591699E-2</v>
      </c>
      <c r="L66">
        <f t="shared" ref="L66:L101" si="30">-1*E66*G66/H66</f>
        <v>-0.64516129032258074</v>
      </c>
      <c r="M66">
        <f>Assumptions!D66</f>
        <v>-0.5</v>
      </c>
      <c r="O66">
        <f t="shared" ref="O66:O97" si="31">F66-E66*0</f>
        <v>45</v>
      </c>
      <c r="P66" s="9">
        <f t="shared" ref="P66:P97" si="32">F66-E66*Q66</f>
        <v>22.5</v>
      </c>
      <c r="Q66" s="10">
        <f t="shared" ref="Q66:Q97" si="33">V66/(W66*2)</f>
        <v>127.49999999999999</v>
      </c>
      <c r="R66" s="7">
        <f t="shared" si="11"/>
        <v>2868.7499999999995</v>
      </c>
      <c r="S66" s="7">
        <f>(Table3[[#This Row],[Proposed Revenue]]-I66)/(H66-C66)</f>
        <v>-69.999999999999872</v>
      </c>
      <c r="V66">
        <f>C66+W66*(B66)</f>
        <v>45</v>
      </c>
      <c r="W66">
        <f t="shared" ref="W66:W97" si="34">ABS(M66)*(C66/B66)</f>
        <v>0.17647058823529413</v>
      </c>
      <c r="X66">
        <f t="shared" si="12"/>
        <v>85</v>
      </c>
    </row>
    <row r="67" spans="1:24">
      <c r="A67" t="str">
        <f>Assumptions!A67</f>
        <v>Marott - Shelter</v>
      </c>
      <c r="B67">
        <f>Assumptions!B67</f>
        <v>75</v>
      </c>
      <c r="C67">
        <f>Assumptions!C67</f>
        <v>10</v>
      </c>
      <c r="D67">
        <f>Assumptions!D67</f>
        <v>-0.5</v>
      </c>
      <c r="E67">
        <f t="shared" si="24"/>
        <v>6.6666666666666666E-2</v>
      </c>
      <c r="F67">
        <f t="shared" si="25"/>
        <v>15</v>
      </c>
      <c r="G67" s="6">
        <v>90</v>
      </c>
      <c r="H67">
        <f t="shared" si="26"/>
        <v>9</v>
      </c>
      <c r="I67">
        <f t="shared" si="27"/>
        <v>750</v>
      </c>
      <c r="J67">
        <f t="shared" si="28"/>
        <v>810</v>
      </c>
      <c r="K67">
        <f t="shared" si="29"/>
        <v>8.0000000000000071E-2</v>
      </c>
      <c r="L67">
        <f t="shared" si="30"/>
        <v>-0.66666666666666663</v>
      </c>
      <c r="M67">
        <f>Assumptions!D67</f>
        <v>-0.5</v>
      </c>
      <c r="O67">
        <f t="shared" si="31"/>
        <v>15</v>
      </c>
      <c r="P67" s="9">
        <f t="shared" si="32"/>
        <v>7.5</v>
      </c>
      <c r="Q67" s="10">
        <f t="shared" si="33"/>
        <v>112.5</v>
      </c>
      <c r="R67" s="7">
        <f t="shared" ref="R67:R114" si="35">P67*Q67</f>
        <v>843.75</v>
      </c>
      <c r="S67" s="7">
        <f>(Table3[[#This Row],[Proposed Revenue]]-I67)/(H67-C67)</f>
        <v>-60</v>
      </c>
      <c r="V67">
        <f>C67+W67*(B67)</f>
        <v>15</v>
      </c>
      <c r="W67">
        <f t="shared" si="34"/>
        <v>6.6666666666666666E-2</v>
      </c>
      <c r="X67">
        <f t="shared" si="12"/>
        <v>75</v>
      </c>
    </row>
    <row r="68" spans="1:24">
      <c r="A68" t="str">
        <f>Assumptions!A68</f>
        <v>Municipal Gardens - Overlook Shelter #2</v>
      </c>
      <c r="B68">
        <f>Assumptions!B68</f>
        <v>75</v>
      </c>
      <c r="C68">
        <f>Assumptions!C68</f>
        <v>4</v>
      </c>
      <c r="D68">
        <f>Assumptions!D68</f>
        <v>-0.5</v>
      </c>
      <c r="E68">
        <f t="shared" si="24"/>
        <v>2.6666666666666668E-2</v>
      </c>
      <c r="F68">
        <f t="shared" si="25"/>
        <v>6</v>
      </c>
      <c r="G68" s="6">
        <v>90</v>
      </c>
      <c r="H68">
        <f t="shared" si="26"/>
        <v>3.5999999999999996</v>
      </c>
      <c r="I68">
        <f t="shared" si="27"/>
        <v>300</v>
      </c>
      <c r="J68">
        <f t="shared" si="28"/>
        <v>323.99999999999994</v>
      </c>
      <c r="K68">
        <f t="shared" si="29"/>
        <v>7.9999999999999849E-2</v>
      </c>
      <c r="L68">
        <f t="shared" si="30"/>
        <v>-0.66666666666666685</v>
      </c>
      <c r="M68">
        <f>Assumptions!D68</f>
        <v>-0.5</v>
      </c>
      <c r="O68">
        <f t="shared" si="31"/>
        <v>6</v>
      </c>
      <c r="P68" s="9">
        <f t="shared" si="32"/>
        <v>3</v>
      </c>
      <c r="Q68" s="10">
        <f t="shared" si="33"/>
        <v>112.49999999999999</v>
      </c>
      <c r="R68" s="7">
        <f t="shared" si="35"/>
        <v>337.49999999999994</v>
      </c>
      <c r="S68" s="7">
        <f>(Table3[[#This Row],[Proposed Revenue]]-I68)/(H68-C68)</f>
        <v>-59.999999999999801</v>
      </c>
      <c r="V68">
        <f>C68+W68*(B68)</f>
        <v>6</v>
      </c>
      <c r="W68">
        <f t="shared" si="34"/>
        <v>2.6666666666666668E-2</v>
      </c>
      <c r="X68">
        <f t="shared" si="12"/>
        <v>75</v>
      </c>
    </row>
    <row r="69" spans="1:24">
      <c r="A69" t="str">
        <f>Assumptions!A69</f>
        <v>Municipal Gardens - Shelter #1</v>
      </c>
      <c r="B69">
        <f>Assumptions!B69</f>
        <v>110</v>
      </c>
      <c r="C69">
        <f>Assumptions!C69</f>
        <v>22</v>
      </c>
      <c r="D69">
        <f>Assumptions!D69</f>
        <v>-0.5</v>
      </c>
      <c r="E69">
        <f t="shared" si="24"/>
        <v>0.1</v>
      </c>
      <c r="F69">
        <f t="shared" si="25"/>
        <v>33</v>
      </c>
      <c r="G69" s="6">
        <v>125</v>
      </c>
      <c r="H69">
        <f t="shared" si="26"/>
        <v>20.5</v>
      </c>
      <c r="I69">
        <f t="shared" si="27"/>
        <v>2420</v>
      </c>
      <c r="J69">
        <f t="shared" si="28"/>
        <v>2562.5</v>
      </c>
      <c r="K69">
        <f t="shared" si="29"/>
        <v>5.8884297520661155E-2</v>
      </c>
      <c r="L69">
        <f t="shared" si="30"/>
        <v>-0.6097560975609756</v>
      </c>
      <c r="M69">
        <f>Assumptions!D69</f>
        <v>-0.5</v>
      </c>
      <c r="O69">
        <f t="shared" si="31"/>
        <v>33</v>
      </c>
      <c r="P69" s="9">
        <f t="shared" si="32"/>
        <v>16.5</v>
      </c>
      <c r="Q69" s="10">
        <f t="shared" si="33"/>
        <v>165</v>
      </c>
      <c r="R69" s="7">
        <f t="shared" si="35"/>
        <v>2722.5</v>
      </c>
      <c r="S69" s="7">
        <f>(Table3[[#This Row],[Proposed Revenue]]-I69)/(H69-C69)</f>
        <v>-95</v>
      </c>
      <c r="V69">
        <f>C69+W69*(B69)</f>
        <v>33</v>
      </c>
      <c r="W69">
        <f t="shared" si="34"/>
        <v>0.1</v>
      </c>
      <c r="X69">
        <f t="shared" si="12"/>
        <v>110</v>
      </c>
    </row>
    <row r="70" spans="1:24">
      <c r="A70" t="str">
        <f>Assumptions!A70</f>
        <v>Northwestway - Shelter 1</v>
      </c>
      <c r="B70">
        <f>Assumptions!B70</f>
        <v>135</v>
      </c>
      <c r="C70">
        <f>Assumptions!C70</f>
        <v>44</v>
      </c>
      <c r="D70">
        <f>Assumptions!D70</f>
        <v>-0.5</v>
      </c>
      <c r="E70">
        <f t="shared" si="24"/>
        <v>0.16296296296296298</v>
      </c>
      <c r="F70">
        <f t="shared" si="25"/>
        <v>66</v>
      </c>
      <c r="G70" s="6">
        <v>150</v>
      </c>
      <c r="H70">
        <f t="shared" si="26"/>
        <v>41.555555555555557</v>
      </c>
      <c r="I70">
        <f t="shared" si="27"/>
        <v>5940</v>
      </c>
      <c r="J70">
        <f t="shared" si="28"/>
        <v>6233.3333333333339</v>
      </c>
      <c r="K70">
        <f t="shared" si="29"/>
        <v>4.9382716049382713E-2</v>
      </c>
      <c r="L70">
        <f t="shared" si="30"/>
        <v>-0.58823529411764708</v>
      </c>
      <c r="M70">
        <f>Assumptions!D70</f>
        <v>-0.5</v>
      </c>
      <c r="O70">
        <f t="shared" si="31"/>
        <v>66</v>
      </c>
      <c r="P70" s="9">
        <f t="shared" si="32"/>
        <v>33</v>
      </c>
      <c r="Q70" s="10">
        <f t="shared" si="33"/>
        <v>202.49999999999997</v>
      </c>
      <c r="R70" s="7">
        <f t="shared" si="35"/>
        <v>6682.4999999999991</v>
      </c>
      <c r="S70" s="7">
        <f>(Table3[[#This Row],[Proposed Revenue]]-I70)/(H70-C70)</f>
        <v>-120.00000000000033</v>
      </c>
      <c r="V70">
        <f>C70+W70*(B70)</f>
        <v>66</v>
      </c>
      <c r="W70">
        <f t="shared" si="34"/>
        <v>0.16296296296296298</v>
      </c>
      <c r="X70">
        <f t="shared" ref="X70:X114" si="36">B70</f>
        <v>135</v>
      </c>
    </row>
    <row r="71" spans="1:24">
      <c r="A71" t="str">
        <f>Assumptions!A71</f>
        <v>Northwestway - Shelter 2</v>
      </c>
      <c r="B71">
        <f>Assumptions!B71</f>
        <v>110</v>
      </c>
      <c r="C71">
        <f>Assumptions!C71</f>
        <v>39</v>
      </c>
      <c r="D71">
        <f>Assumptions!D71</f>
        <v>-0.5</v>
      </c>
      <c r="E71">
        <f t="shared" si="24"/>
        <v>0.17727272727272728</v>
      </c>
      <c r="F71">
        <f t="shared" si="25"/>
        <v>58.5</v>
      </c>
      <c r="G71" s="6">
        <v>125</v>
      </c>
      <c r="H71">
        <f t="shared" si="26"/>
        <v>36.340909090909093</v>
      </c>
      <c r="I71">
        <f t="shared" si="27"/>
        <v>4290</v>
      </c>
      <c r="J71">
        <f t="shared" si="28"/>
        <v>4542.6136363636369</v>
      </c>
      <c r="K71">
        <f t="shared" si="29"/>
        <v>5.8884297520661377E-2</v>
      </c>
      <c r="L71">
        <f t="shared" si="30"/>
        <v>-0.6097560975609756</v>
      </c>
      <c r="M71">
        <f>Assumptions!D71</f>
        <v>-0.5</v>
      </c>
      <c r="O71">
        <f t="shared" si="31"/>
        <v>58.5</v>
      </c>
      <c r="P71" s="9">
        <f t="shared" si="32"/>
        <v>29.25</v>
      </c>
      <c r="Q71" s="10">
        <f t="shared" si="33"/>
        <v>165</v>
      </c>
      <c r="R71" s="7">
        <f t="shared" si="35"/>
        <v>4826.25</v>
      </c>
      <c r="S71" s="7">
        <f>(Table3[[#This Row],[Proposed Revenue]]-I71)/(H71-C71)</f>
        <v>-95.000000000000313</v>
      </c>
      <c r="V71">
        <f>C71+W71*(B71)</f>
        <v>58.5</v>
      </c>
      <c r="W71">
        <f t="shared" si="34"/>
        <v>0.17727272727272728</v>
      </c>
      <c r="X71">
        <f t="shared" si="36"/>
        <v>110</v>
      </c>
    </row>
    <row r="72" spans="1:24">
      <c r="A72" t="str">
        <f>Assumptions!A72</f>
        <v>Northwestway - Shelter 3</v>
      </c>
      <c r="B72">
        <f>Assumptions!B72</f>
        <v>135</v>
      </c>
      <c r="C72">
        <f>Assumptions!C72</f>
        <v>35</v>
      </c>
      <c r="D72">
        <f>Assumptions!D72</f>
        <v>-0.5</v>
      </c>
      <c r="E72">
        <f t="shared" si="24"/>
        <v>0.12962962962962962</v>
      </c>
      <c r="F72">
        <f t="shared" si="25"/>
        <v>52.5</v>
      </c>
      <c r="G72" s="6">
        <v>150</v>
      </c>
      <c r="H72">
        <f t="shared" si="26"/>
        <v>33.055555555555557</v>
      </c>
      <c r="I72">
        <f t="shared" si="27"/>
        <v>4725</v>
      </c>
      <c r="J72">
        <f t="shared" si="28"/>
        <v>4958.3333333333339</v>
      </c>
      <c r="K72">
        <f t="shared" si="29"/>
        <v>4.9382716049382935E-2</v>
      </c>
      <c r="L72">
        <f t="shared" si="30"/>
        <v>-0.58823529411764697</v>
      </c>
      <c r="M72">
        <f>Assumptions!D72</f>
        <v>-0.5</v>
      </c>
      <c r="O72">
        <f t="shared" si="31"/>
        <v>52.5</v>
      </c>
      <c r="P72" s="9">
        <f t="shared" si="32"/>
        <v>26.25</v>
      </c>
      <c r="Q72" s="10">
        <f t="shared" si="33"/>
        <v>202.5</v>
      </c>
      <c r="R72" s="7">
        <f t="shared" si="35"/>
        <v>5315.625</v>
      </c>
      <c r="S72" s="7">
        <f>(Table3[[#This Row],[Proposed Revenue]]-I72)/(H72-C72)</f>
        <v>-120.00000000000041</v>
      </c>
      <c r="V72">
        <f>C72+W72*(B72)</f>
        <v>52.5</v>
      </c>
      <c r="W72">
        <f t="shared" si="34"/>
        <v>0.12962962962962962</v>
      </c>
      <c r="X72">
        <f t="shared" si="36"/>
        <v>135</v>
      </c>
    </row>
    <row r="73" spans="1:24">
      <c r="A73" t="str">
        <f>Assumptions!A73</f>
        <v>Charleston - Shelter #1</v>
      </c>
      <c r="B73">
        <f>Assumptions!B73</f>
        <v>110</v>
      </c>
      <c r="C73">
        <f>Assumptions!C73</f>
        <v>8</v>
      </c>
      <c r="D73">
        <f>Assumptions!D73</f>
        <v>-0.5</v>
      </c>
      <c r="E73">
        <f t="shared" si="24"/>
        <v>3.6363636363636362E-2</v>
      </c>
      <c r="F73">
        <f t="shared" si="25"/>
        <v>12</v>
      </c>
      <c r="G73" s="6">
        <v>125</v>
      </c>
      <c r="H73">
        <f t="shared" si="26"/>
        <v>7.454545454545455</v>
      </c>
      <c r="I73">
        <f t="shared" si="27"/>
        <v>880</v>
      </c>
      <c r="J73">
        <f t="shared" si="28"/>
        <v>931.81818181818187</v>
      </c>
      <c r="K73">
        <f t="shared" si="29"/>
        <v>5.8884297520661155E-2</v>
      </c>
      <c r="L73">
        <f t="shared" si="30"/>
        <v>-0.60975609756097549</v>
      </c>
      <c r="M73">
        <f>Assumptions!D73</f>
        <v>-0.5</v>
      </c>
      <c r="O73">
        <f t="shared" si="31"/>
        <v>12</v>
      </c>
      <c r="P73" s="9">
        <f t="shared" si="32"/>
        <v>6</v>
      </c>
      <c r="Q73" s="10">
        <f t="shared" si="33"/>
        <v>165</v>
      </c>
      <c r="R73" s="7">
        <f t="shared" si="35"/>
        <v>990</v>
      </c>
      <c r="S73" s="7">
        <f>(Table3[[#This Row],[Proposed Revenue]]-I73)/(H73-C73)</f>
        <v>-95.000000000000185</v>
      </c>
      <c r="V73">
        <f>C73+W73*(B73)</f>
        <v>12</v>
      </c>
      <c r="W73">
        <f t="shared" si="34"/>
        <v>3.6363636363636362E-2</v>
      </c>
      <c r="X73">
        <f t="shared" si="36"/>
        <v>110</v>
      </c>
    </row>
    <row r="74" spans="1:24">
      <c r="A74" t="str">
        <f>Assumptions!A74</f>
        <v>Charleston - Shelter #3</v>
      </c>
      <c r="B74">
        <f>Assumptions!B74</f>
        <v>110</v>
      </c>
      <c r="C74">
        <f>Assumptions!C74</f>
        <v>6</v>
      </c>
      <c r="D74">
        <f>Assumptions!D74</f>
        <v>-0.5</v>
      </c>
      <c r="E74">
        <f t="shared" si="24"/>
        <v>2.7272727272727271E-2</v>
      </c>
      <c r="F74">
        <f t="shared" si="25"/>
        <v>9</v>
      </c>
      <c r="G74" s="6">
        <v>125</v>
      </c>
      <c r="H74">
        <f t="shared" si="26"/>
        <v>5.5909090909090917</v>
      </c>
      <c r="I74">
        <f t="shared" si="27"/>
        <v>660</v>
      </c>
      <c r="J74">
        <f t="shared" si="28"/>
        <v>698.86363636363649</v>
      </c>
      <c r="K74">
        <f t="shared" si="29"/>
        <v>5.8884297520661377E-2</v>
      </c>
      <c r="L74">
        <f t="shared" si="30"/>
        <v>-0.60975609756097549</v>
      </c>
      <c r="M74">
        <f>Assumptions!D74</f>
        <v>-0.5</v>
      </c>
      <c r="O74">
        <f t="shared" si="31"/>
        <v>9</v>
      </c>
      <c r="P74" s="9">
        <f t="shared" si="32"/>
        <v>4.5</v>
      </c>
      <c r="Q74" s="10">
        <f t="shared" si="33"/>
        <v>165</v>
      </c>
      <c r="R74" s="7">
        <f t="shared" si="35"/>
        <v>742.5</v>
      </c>
      <c r="S74" s="7">
        <f>(Table3[[#This Row],[Proposed Revenue]]-I74)/(H74-C74)</f>
        <v>-95.000000000000497</v>
      </c>
      <c r="V74">
        <f>C74+W74*(B74)</f>
        <v>9</v>
      </c>
      <c r="W74">
        <f t="shared" si="34"/>
        <v>2.7272727272727271E-2</v>
      </c>
      <c r="X74">
        <f t="shared" si="36"/>
        <v>110</v>
      </c>
    </row>
    <row r="75" spans="1:24">
      <c r="A75" t="str">
        <f>Assumptions!A75</f>
        <v>Paul Ruster - Shelter 2</v>
      </c>
      <c r="B75">
        <f>Assumptions!B75</f>
        <v>110</v>
      </c>
      <c r="C75">
        <f>Assumptions!C75</f>
        <v>25</v>
      </c>
      <c r="D75">
        <f>Assumptions!D75</f>
        <v>-0.5</v>
      </c>
      <c r="E75">
        <f t="shared" si="24"/>
        <v>0.11363636363636363</v>
      </c>
      <c r="F75">
        <f t="shared" si="25"/>
        <v>37.5</v>
      </c>
      <c r="G75" s="6">
        <v>125</v>
      </c>
      <c r="H75">
        <f t="shared" si="26"/>
        <v>23.295454545454547</v>
      </c>
      <c r="I75">
        <f t="shared" si="27"/>
        <v>2750</v>
      </c>
      <c r="J75">
        <f t="shared" si="28"/>
        <v>2911.9318181818185</v>
      </c>
      <c r="K75">
        <f t="shared" si="29"/>
        <v>5.8884297520661155E-2</v>
      </c>
      <c r="L75">
        <f t="shared" si="30"/>
        <v>-0.60975609756097549</v>
      </c>
      <c r="M75">
        <f>Assumptions!D75</f>
        <v>-0.5</v>
      </c>
      <c r="O75">
        <f t="shared" si="31"/>
        <v>37.5</v>
      </c>
      <c r="P75" s="9">
        <f t="shared" si="32"/>
        <v>18.75</v>
      </c>
      <c r="Q75" s="10">
        <f t="shared" si="33"/>
        <v>165</v>
      </c>
      <c r="R75" s="7">
        <f t="shared" si="35"/>
        <v>3093.75</v>
      </c>
      <c r="S75" s="7">
        <f>(Table3[[#This Row],[Proposed Revenue]]-I75)/(H75-C75)</f>
        <v>-95.000000000000242</v>
      </c>
      <c r="V75">
        <f>C75+W75*(B75)</f>
        <v>37.5</v>
      </c>
      <c r="W75">
        <f t="shared" si="34"/>
        <v>0.11363636363636363</v>
      </c>
      <c r="X75">
        <f>B75</f>
        <v>110</v>
      </c>
    </row>
    <row r="76" spans="1:24">
      <c r="A76" t="str">
        <f>Assumptions!A76</f>
        <v>Perry - Shelter N</v>
      </c>
      <c r="B76">
        <f>Assumptions!B76</f>
        <v>135</v>
      </c>
      <c r="C76">
        <f>Assumptions!C76</f>
        <v>3</v>
      </c>
      <c r="D76">
        <f>Assumptions!D76</f>
        <v>-0.5</v>
      </c>
      <c r="E76">
        <f t="shared" si="24"/>
        <v>1.1111111111111112E-2</v>
      </c>
      <c r="F76">
        <f t="shared" si="25"/>
        <v>4.5</v>
      </c>
      <c r="G76" s="6">
        <v>150</v>
      </c>
      <c r="H76">
        <f t="shared" si="26"/>
        <v>2.833333333333333</v>
      </c>
      <c r="I76">
        <f t="shared" si="27"/>
        <v>405</v>
      </c>
      <c r="J76">
        <f t="shared" si="28"/>
        <v>424.99999999999994</v>
      </c>
      <c r="K76">
        <f t="shared" si="29"/>
        <v>4.9382716049382491E-2</v>
      </c>
      <c r="L76">
        <f t="shared" si="30"/>
        <v>-0.58823529411764719</v>
      </c>
      <c r="M76">
        <f>Assumptions!D76</f>
        <v>-0.5</v>
      </c>
      <c r="O76">
        <f t="shared" si="31"/>
        <v>4.5</v>
      </c>
      <c r="P76" s="9">
        <f t="shared" si="32"/>
        <v>2.25</v>
      </c>
      <c r="Q76" s="10">
        <f t="shared" si="33"/>
        <v>202.5</v>
      </c>
      <c r="R76" s="7">
        <f t="shared" si="35"/>
        <v>455.625</v>
      </c>
      <c r="S76" s="7">
        <f>(Table3[[#This Row],[Proposed Revenue]]-I76)/(H76-C76)</f>
        <v>-119.99999999999945</v>
      </c>
      <c r="V76">
        <f>C76+W76*(B76)</f>
        <v>4.5</v>
      </c>
      <c r="W76">
        <f t="shared" si="34"/>
        <v>1.1111111111111112E-2</v>
      </c>
      <c r="X76">
        <f t="shared" si="36"/>
        <v>135</v>
      </c>
    </row>
    <row r="77" spans="1:24">
      <c r="A77" t="str">
        <f>Assumptions!A77</f>
        <v>Perry - Shelter W</v>
      </c>
      <c r="B77">
        <f>Assumptions!B77</f>
        <v>110</v>
      </c>
      <c r="C77">
        <f>Assumptions!C77</f>
        <v>14</v>
      </c>
      <c r="D77">
        <f>Assumptions!D77</f>
        <v>-0.5</v>
      </c>
      <c r="E77">
        <f t="shared" si="24"/>
        <v>6.363636363636363E-2</v>
      </c>
      <c r="F77">
        <f t="shared" si="25"/>
        <v>21</v>
      </c>
      <c r="G77" s="6">
        <v>125</v>
      </c>
      <c r="H77">
        <f t="shared" si="26"/>
        <v>13.045454545454547</v>
      </c>
      <c r="I77">
        <f t="shared" si="27"/>
        <v>1540</v>
      </c>
      <c r="J77">
        <f t="shared" si="28"/>
        <v>1630.6818181818182</v>
      </c>
      <c r="K77">
        <f t="shared" si="29"/>
        <v>5.8884297520661155E-2</v>
      </c>
      <c r="L77">
        <f t="shared" si="30"/>
        <v>-0.60975609756097549</v>
      </c>
      <c r="M77">
        <f>Assumptions!D77</f>
        <v>-0.5</v>
      </c>
      <c r="O77">
        <f t="shared" si="31"/>
        <v>21</v>
      </c>
      <c r="P77" s="9">
        <f t="shared" si="32"/>
        <v>10.5</v>
      </c>
      <c r="Q77" s="10">
        <f t="shared" si="33"/>
        <v>165.00000000000003</v>
      </c>
      <c r="R77" s="7">
        <f t="shared" si="35"/>
        <v>1732.5000000000002</v>
      </c>
      <c r="S77" s="7">
        <f>(Table3[[#This Row],[Proposed Revenue]]-I77)/(H77-C77)</f>
        <v>-95.000000000000199</v>
      </c>
      <c r="V77">
        <f>C77+W77*(B77)</f>
        <v>21</v>
      </c>
      <c r="W77">
        <f t="shared" si="34"/>
        <v>6.363636363636363E-2</v>
      </c>
      <c r="X77">
        <f t="shared" si="36"/>
        <v>110</v>
      </c>
    </row>
    <row r="78" spans="1:24">
      <c r="A78" t="str">
        <f>Assumptions!A78</f>
        <v>Ray Park- Shelter</v>
      </c>
      <c r="B78">
        <f>Assumptions!B78</f>
        <v>110</v>
      </c>
      <c r="C78">
        <f>Assumptions!C78</f>
        <v>6</v>
      </c>
      <c r="D78">
        <f>Assumptions!D78</f>
        <v>-0.5</v>
      </c>
      <c r="E78">
        <f t="shared" si="24"/>
        <v>2.7272727272727271E-2</v>
      </c>
      <c r="F78">
        <f t="shared" si="25"/>
        <v>9</v>
      </c>
      <c r="G78" s="6">
        <v>125</v>
      </c>
      <c r="H78">
        <f t="shared" si="26"/>
        <v>5.5909090909090917</v>
      </c>
      <c r="I78">
        <f t="shared" si="27"/>
        <v>660</v>
      </c>
      <c r="J78">
        <f t="shared" si="28"/>
        <v>698.86363636363649</v>
      </c>
      <c r="K78">
        <f t="shared" si="29"/>
        <v>5.8884297520661377E-2</v>
      </c>
      <c r="L78">
        <f t="shared" si="30"/>
        <v>-0.60975609756097549</v>
      </c>
      <c r="M78">
        <f>Assumptions!D78</f>
        <v>-0.5</v>
      </c>
      <c r="O78">
        <f t="shared" si="31"/>
        <v>9</v>
      </c>
      <c r="P78" s="9">
        <f t="shared" si="32"/>
        <v>4.5</v>
      </c>
      <c r="Q78" s="10">
        <f t="shared" si="33"/>
        <v>165</v>
      </c>
      <c r="R78" s="7">
        <f t="shared" si="35"/>
        <v>742.5</v>
      </c>
      <c r="S78" s="7">
        <f>(Table3[[#This Row],[Proposed Revenue]]-I78)/(H78-C78)</f>
        <v>-95.000000000000497</v>
      </c>
      <c r="V78">
        <f>C78+W78*(B78)</f>
        <v>9</v>
      </c>
      <c r="W78">
        <f t="shared" si="34"/>
        <v>2.7272727272727271E-2</v>
      </c>
      <c r="X78">
        <f t="shared" si="36"/>
        <v>110</v>
      </c>
    </row>
    <row r="79" spans="1:24">
      <c r="A79" t="str">
        <f>Assumptions!A79</f>
        <v>Rhodius - Shelter #1 - Playground</v>
      </c>
      <c r="B79">
        <f>Assumptions!B79</f>
        <v>110</v>
      </c>
      <c r="C79">
        <f>Assumptions!C79</f>
        <v>16</v>
      </c>
      <c r="D79">
        <f>Assumptions!D79</f>
        <v>-0.5</v>
      </c>
      <c r="E79">
        <f t="shared" si="24"/>
        <v>7.2727272727272724E-2</v>
      </c>
      <c r="F79">
        <f t="shared" si="25"/>
        <v>24</v>
      </c>
      <c r="G79" s="6">
        <v>125</v>
      </c>
      <c r="H79">
        <f t="shared" si="26"/>
        <v>14.90909090909091</v>
      </c>
      <c r="I79">
        <f t="shared" si="27"/>
        <v>1760</v>
      </c>
      <c r="J79">
        <f t="shared" si="28"/>
        <v>1863.6363636363637</v>
      </c>
      <c r="K79">
        <f t="shared" si="29"/>
        <v>5.8884297520661155E-2</v>
      </c>
      <c r="L79">
        <f t="shared" si="30"/>
        <v>-0.60975609756097549</v>
      </c>
      <c r="M79">
        <f>Assumptions!D79</f>
        <v>-0.5</v>
      </c>
      <c r="O79">
        <f t="shared" si="31"/>
        <v>24</v>
      </c>
      <c r="P79" s="9">
        <f t="shared" si="32"/>
        <v>12</v>
      </c>
      <c r="Q79" s="10">
        <f t="shared" si="33"/>
        <v>165</v>
      </c>
      <c r="R79" s="7">
        <f t="shared" si="35"/>
        <v>1980</v>
      </c>
      <c r="S79" s="7">
        <f>(Table3[[#This Row],[Proposed Revenue]]-I79)/(H79-C79)</f>
        <v>-95.000000000000185</v>
      </c>
      <c r="V79">
        <f>C79+W79*(B79)</f>
        <v>24</v>
      </c>
      <c r="W79">
        <f t="shared" si="34"/>
        <v>7.2727272727272724E-2</v>
      </c>
      <c r="X79">
        <f t="shared" si="36"/>
        <v>110</v>
      </c>
    </row>
    <row r="80" spans="1:24">
      <c r="A80" t="str">
        <f>Assumptions!A80</f>
        <v>Rhodius - Shelter 2 - Little League</v>
      </c>
      <c r="B80">
        <f>Assumptions!B80</f>
        <v>135</v>
      </c>
      <c r="C80">
        <f>Assumptions!C80</f>
        <v>2</v>
      </c>
      <c r="D80">
        <f>Assumptions!D80</f>
        <v>-0.5</v>
      </c>
      <c r="E80">
        <f t="shared" si="24"/>
        <v>7.4074074074074077E-3</v>
      </c>
      <c r="F80">
        <f t="shared" si="25"/>
        <v>3</v>
      </c>
      <c r="G80" s="6">
        <v>150</v>
      </c>
      <c r="H80">
        <f t="shared" si="26"/>
        <v>1.8888888888888888</v>
      </c>
      <c r="I80">
        <f t="shared" si="27"/>
        <v>270</v>
      </c>
      <c r="J80">
        <f t="shared" si="28"/>
        <v>283.33333333333331</v>
      </c>
      <c r="K80">
        <f t="shared" si="29"/>
        <v>4.9382716049382713E-2</v>
      </c>
      <c r="L80">
        <f t="shared" si="30"/>
        <v>-0.58823529411764708</v>
      </c>
      <c r="M80">
        <f>Assumptions!D80</f>
        <v>-0.5</v>
      </c>
      <c r="O80">
        <f t="shared" si="31"/>
        <v>3</v>
      </c>
      <c r="P80" s="9">
        <f t="shared" si="32"/>
        <v>1.5</v>
      </c>
      <c r="Q80" s="10">
        <f t="shared" si="33"/>
        <v>202.5</v>
      </c>
      <c r="R80" s="7">
        <f t="shared" si="35"/>
        <v>303.75</v>
      </c>
      <c r="S80" s="7">
        <f>(Table3[[#This Row],[Proposed Revenue]]-I80)/(H80-C80)</f>
        <v>-119.99999999999977</v>
      </c>
      <c r="V80">
        <f>C80+W80*(B80)</f>
        <v>3</v>
      </c>
      <c r="W80">
        <f t="shared" si="34"/>
        <v>7.4074074074074077E-3</v>
      </c>
      <c r="X80">
        <f t="shared" si="36"/>
        <v>135</v>
      </c>
    </row>
    <row r="81" spans="1:24">
      <c r="A81" t="str">
        <f>Assumptions!A81</f>
        <v>Riverside - Shelter #1 *Do Not Rent*</v>
      </c>
      <c r="B81">
        <f>Assumptions!B81</f>
        <v>135</v>
      </c>
      <c r="C81">
        <f>Assumptions!C81</f>
        <v>1</v>
      </c>
      <c r="D81">
        <f>Assumptions!D81</f>
        <v>-0.5</v>
      </c>
      <c r="E81">
        <f t="shared" si="24"/>
        <v>3.7037037037037038E-3</v>
      </c>
      <c r="F81">
        <f t="shared" si="25"/>
        <v>1.5</v>
      </c>
      <c r="G81" s="6">
        <v>150</v>
      </c>
      <c r="H81">
        <f t="shared" si="26"/>
        <v>0.94444444444444442</v>
      </c>
      <c r="I81">
        <f t="shared" si="27"/>
        <v>135</v>
      </c>
      <c r="J81">
        <f t="shared" si="28"/>
        <v>141.66666666666666</v>
      </c>
      <c r="K81">
        <f t="shared" si="29"/>
        <v>4.9382716049382713E-2</v>
      </c>
      <c r="L81">
        <f t="shared" si="30"/>
        <v>-0.58823529411764708</v>
      </c>
      <c r="M81">
        <f>Assumptions!D81</f>
        <v>-0.5</v>
      </c>
      <c r="O81">
        <f t="shared" si="31"/>
        <v>1.5</v>
      </c>
      <c r="P81" s="9">
        <f t="shared" si="32"/>
        <v>0.75</v>
      </c>
      <c r="Q81" s="10">
        <f t="shared" si="33"/>
        <v>202.5</v>
      </c>
      <c r="R81" s="7">
        <f t="shared" si="35"/>
        <v>151.875</v>
      </c>
      <c r="S81" s="7">
        <f>(Table3[[#This Row],[Proposed Revenue]]-I81)/(H81-C81)</f>
        <v>-119.99999999999977</v>
      </c>
      <c r="V81">
        <f>C81+W81*(B81)</f>
        <v>1.5</v>
      </c>
      <c r="W81">
        <f t="shared" si="34"/>
        <v>3.7037037037037038E-3</v>
      </c>
      <c r="X81">
        <f t="shared" si="36"/>
        <v>135</v>
      </c>
    </row>
    <row r="82" spans="1:24">
      <c r="A82" t="str">
        <f>Assumptions!A82</f>
        <v>Riverside - Shelter #2 *Do Not Rent*</v>
      </c>
      <c r="B82">
        <f>Assumptions!B82</f>
        <v>135</v>
      </c>
      <c r="C82">
        <f>Assumptions!C82</f>
        <v>88</v>
      </c>
      <c r="D82">
        <f>Assumptions!D82</f>
        <v>-0.5</v>
      </c>
      <c r="E82">
        <f t="shared" si="24"/>
        <v>0.32592592592592595</v>
      </c>
      <c r="F82">
        <f t="shared" si="25"/>
        <v>132</v>
      </c>
      <c r="G82" s="6">
        <v>150</v>
      </c>
      <c r="H82">
        <f t="shared" si="26"/>
        <v>83.111111111111114</v>
      </c>
      <c r="I82">
        <f t="shared" si="27"/>
        <v>11880</v>
      </c>
      <c r="J82">
        <f t="shared" si="28"/>
        <v>12466.666666666668</v>
      </c>
      <c r="K82">
        <f t="shared" si="29"/>
        <v>4.9382716049382713E-2</v>
      </c>
      <c r="L82">
        <f t="shared" si="30"/>
        <v>-0.58823529411764708</v>
      </c>
      <c r="M82">
        <f>Assumptions!D82</f>
        <v>-0.5</v>
      </c>
      <c r="O82">
        <f t="shared" si="31"/>
        <v>132</v>
      </c>
      <c r="P82" s="9">
        <f t="shared" si="32"/>
        <v>66</v>
      </c>
      <c r="Q82" s="10">
        <f t="shared" si="33"/>
        <v>202.49999999999997</v>
      </c>
      <c r="R82" s="7">
        <f t="shared" si="35"/>
        <v>13364.999999999998</v>
      </c>
      <c r="S82" s="7">
        <f>(Table3[[#This Row],[Proposed Revenue]]-I82)/(H82-C82)</f>
        <v>-120.00000000000033</v>
      </c>
      <c r="V82">
        <f>C82+W82*(B82)</f>
        <v>132</v>
      </c>
      <c r="W82">
        <f t="shared" si="34"/>
        <v>0.32592592592592595</v>
      </c>
      <c r="X82">
        <f t="shared" si="36"/>
        <v>135</v>
      </c>
    </row>
    <row r="83" spans="1:24">
      <c r="A83" t="str">
        <f>Assumptions!A83</f>
        <v>Riverside - Shelter #3</v>
      </c>
      <c r="B83">
        <f>Assumptions!B83</f>
        <v>135</v>
      </c>
      <c r="C83">
        <f>Assumptions!C83</f>
        <v>40</v>
      </c>
      <c r="D83">
        <f>Assumptions!D83</f>
        <v>-0.5</v>
      </c>
      <c r="E83">
        <f t="shared" si="24"/>
        <v>0.14814814814814814</v>
      </c>
      <c r="F83">
        <f t="shared" si="25"/>
        <v>60</v>
      </c>
      <c r="G83" s="6">
        <v>150</v>
      </c>
      <c r="H83">
        <f t="shared" si="26"/>
        <v>37.777777777777779</v>
      </c>
      <c r="I83">
        <f t="shared" si="27"/>
        <v>5400</v>
      </c>
      <c r="J83">
        <f t="shared" si="28"/>
        <v>5666.666666666667</v>
      </c>
      <c r="K83">
        <f t="shared" si="29"/>
        <v>4.9382716049382713E-2</v>
      </c>
      <c r="L83">
        <f t="shared" si="30"/>
        <v>-0.58823529411764708</v>
      </c>
      <c r="M83">
        <f>Assumptions!D83</f>
        <v>-0.5</v>
      </c>
      <c r="O83">
        <f t="shared" si="31"/>
        <v>60</v>
      </c>
      <c r="P83" s="9">
        <f t="shared" si="32"/>
        <v>30</v>
      </c>
      <c r="Q83" s="10">
        <f t="shared" si="33"/>
        <v>202.5</v>
      </c>
      <c r="R83" s="7">
        <f t="shared" si="35"/>
        <v>6075</v>
      </c>
      <c r="S83" s="7">
        <f>(Table3[[#This Row],[Proposed Revenue]]-I83)/(H83-C83)</f>
        <v>-120.00000000000018</v>
      </c>
      <c r="V83">
        <f>C83+W83*(B83)</f>
        <v>60</v>
      </c>
      <c r="W83">
        <f t="shared" si="34"/>
        <v>0.14814814814814814</v>
      </c>
      <c r="X83">
        <f t="shared" si="36"/>
        <v>135</v>
      </c>
    </row>
    <row r="84" spans="1:24">
      <c r="A84" t="str">
        <f>Assumptions!A84</f>
        <v>Riverside - Shelter #5</v>
      </c>
      <c r="B84">
        <f>Assumptions!B84</f>
        <v>135</v>
      </c>
      <c r="C84">
        <f>Assumptions!C84</f>
        <v>27</v>
      </c>
      <c r="D84">
        <f>Assumptions!D84</f>
        <v>-0.5</v>
      </c>
      <c r="E84">
        <f t="shared" si="24"/>
        <v>0.1</v>
      </c>
      <c r="F84">
        <f t="shared" si="25"/>
        <v>40.5</v>
      </c>
      <c r="G84" s="6">
        <v>150</v>
      </c>
      <c r="H84">
        <f t="shared" si="26"/>
        <v>25.5</v>
      </c>
      <c r="I84">
        <f t="shared" si="27"/>
        <v>3645</v>
      </c>
      <c r="J84">
        <f t="shared" si="28"/>
        <v>3825</v>
      </c>
      <c r="K84">
        <f t="shared" si="29"/>
        <v>4.9382716049382713E-2</v>
      </c>
      <c r="L84">
        <f t="shared" si="30"/>
        <v>-0.58823529411764708</v>
      </c>
      <c r="M84">
        <f>Assumptions!D84</f>
        <v>-0.5</v>
      </c>
      <c r="O84">
        <f t="shared" si="31"/>
        <v>40.5</v>
      </c>
      <c r="P84" s="9">
        <f t="shared" si="32"/>
        <v>20.25</v>
      </c>
      <c r="Q84" s="10">
        <f t="shared" si="33"/>
        <v>202.5</v>
      </c>
      <c r="R84" s="7">
        <f t="shared" si="35"/>
        <v>4100.625</v>
      </c>
      <c r="S84" s="7">
        <f>(Table3[[#This Row],[Proposed Revenue]]-I84)/(H84-C84)</f>
        <v>-120</v>
      </c>
      <c r="V84">
        <f>C84+W84*(B84)</f>
        <v>40.5</v>
      </c>
      <c r="W84">
        <f t="shared" si="34"/>
        <v>0.1</v>
      </c>
      <c r="X84">
        <f t="shared" si="36"/>
        <v>135</v>
      </c>
    </row>
    <row r="85" spans="1:24">
      <c r="A85" t="str">
        <f>Assumptions!A85</f>
        <v>Riverside - Shelter #6</v>
      </c>
      <c r="B85">
        <f>Assumptions!B85</f>
        <v>135</v>
      </c>
      <c r="C85">
        <f>Assumptions!C85</f>
        <v>19</v>
      </c>
      <c r="D85">
        <f>Assumptions!D85</f>
        <v>-0.5</v>
      </c>
      <c r="E85">
        <f t="shared" si="24"/>
        <v>7.0370370370370375E-2</v>
      </c>
      <c r="F85">
        <f t="shared" si="25"/>
        <v>28.5</v>
      </c>
      <c r="G85" s="6">
        <v>150</v>
      </c>
      <c r="H85">
        <f t="shared" si="26"/>
        <v>17.944444444444443</v>
      </c>
      <c r="I85">
        <f t="shared" si="27"/>
        <v>2565</v>
      </c>
      <c r="J85">
        <f t="shared" si="28"/>
        <v>2691.6666666666665</v>
      </c>
      <c r="K85">
        <f t="shared" si="29"/>
        <v>4.9382716049382713E-2</v>
      </c>
      <c r="L85">
        <f t="shared" si="30"/>
        <v>-0.58823529411764708</v>
      </c>
      <c r="M85">
        <f>Assumptions!D85</f>
        <v>-0.5</v>
      </c>
      <c r="O85">
        <f t="shared" si="31"/>
        <v>28.5</v>
      </c>
      <c r="P85" s="9">
        <f t="shared" si="32"/>
        <v>14.249999999999998</v>
      </c>
      <c r="Q85" s="10">
        <f t="shared" si="33"/>
        <v>202.5</v>
      </c>
      <c r="R85" s="7">
        <f t="shared" si="35"/>
        <v>2885.6249999999995</v>
      </c>
      <c r="S85" s="7">
        <f>(Table3[[#This Row],[Proposed Revenue]]-I85)/(H85-C85)</f>
        <v>-119.99999999999967</v>
      </c>
      <c r="V85">
        <f>C85+W85*(B85)</f>
        <v>28.5</v>
      </c>
      <c r="W85">
        <f t="shared" si="34"/>
        <v>7.0370370370370375E-2</v>
      </c>
      <c r="X85">
        <f t="shared" si="36"/>
        <v>135</v>
      </c>
    </row>
    <row r="86" spans="1:24">
      <c r="A86" t="str">
        <f>Assumptions!A86</f>
        <v>Riverwood - Shelter</v>
      </c>
      <c r="B86">
        <f>Assumptions!B86</f>
        <v>110</v>
      </c>
      <c r="C86">
        <f>Assumptions!C86</f>
        <v>43</v>
      </c>
      <c r="D86">
        <f>Assumptions!D86</f>
        <v>-0.5</v>
      </c>
      <c r="E86">
        <f t="shared" si="24"/>
        <v>0.19545454545454546</v>
      </c>
      <c r="F86">
        <f t="shared" si="25"/>
        <v>64.5</v>
      </c>
      <c r="G86" s="6">
        <v>125</v>
      </c>
      <c r="H86">
        <f t="shared" si="26"/>
        <v>40.068181818181813</v>
      </c>
      <c r="I86">
        <f t="shared" si="27"/>
        <v>4730</v>
      </c>
      <c r="J86">
        <f t="shared" si="28"/>
        <v>5008.522727272727</v>
      </c>
      <c r="K86">
        <f t="shared" si="29"/>
        <v>5.8884297520661155E-2</v>
      </c>
      <c r="L86">
        <f t="shared" si="30"/>
        <v>-0.60975609756097571</v>
      </c>
      <c r="M86">
        <f>Assumptions!D86</f>
        <v>-0.5</v>
      </c>
      <c r="O86">
        <f t="shared" si="31"/>
        <v>64.5</v>
      </c>
      <c r="P86" s="9">
        <f t="shared" si="32"/>
        <v>32.25</v>
      </c>
      <c r="Q86" s="10">
        <f t="shared" si="33"/>
        <v>165</v>
      </c>
      <c r="R86" s="7">
        <f t="shared" si="35"/>
        <v>5321.25</v>
      </c>
      <c r="S86" s="7">
        <f>(Table3[[#This Row],[Proposed Revenue]]-I86)/(H86-C86)</f>
        <v>-94.999999999999744</v>
      </c>
      <c r="V86">
        <f>C86+W86*(B86)</f>
        <v>64.5</v>
      </c>
      <c r="W86">
        <f t="shared" si="34"/>
        <v>0.19545454545454546</v>
      </c>
      <c r="X86">
        <f t="shared" si="36"/>
        <v>110</v>
      </c>
    </row>
    <row r="87" spans="1:24">
      <c r="A87" t="str">
        <f>Assumptions!A87</f>
        <v>Sahm - Corporate Pavilion</v>
      </c>
      <c r="B87">
        <f>Assumptions!B87</f>
        <v>285</v>
      </c>
      <c r="C87">
        <f>Assumptions!C87</f>
        <v>175</v>
      </c>
      <c r="D87">
        <f>Assumptions!D87</f>
        <v>-0.5</v>
      </c>
      <c r="E87">
        <f t="shared" si="24"/>
        <v>0.30701754385964913</v>
      </c>
      <c r="F87">
        <f t="shared" si="25"/>
        <v>262.5</v>
      </c>
      <c r="G87" s="6">
        <v>300</v>
      </c>
      <c r="H87">
        <f t="shared" si="26"/>
        <v>170.39473684210526</v>
      </c>
      <c r="I87">
        <f t="shared" si="27"/>
        <v>49875</v>
      </c>
      <c r="J87">
        <f t="shared" si="28"/>
        <v>51118.42105263158</v>
      </c>
      <c r="K87">
        <f t="shared" si="29"/>
        <v>2.4930747922437657E-2</v>
      </c>
      <c r="L87">
        <f t="shared" si="30"/>
        <v>-0.54054054054054057</v>
      </c>
      <c r="M87">
        <f>Assumptions!D87</f>
        <v>-0.5</v>
      </c>
      <c r="O87">
        <f t="shared" si="31"/>
        <v>262.5</v>
      </c>
      <c r="P87" s="9">
        <f t="shared" si="32"/>
        <v>131.25</v>
      </c>
      <c r="Q87" s="10">
        <f t="shared" si="33"/>
        <v>427.5</v>
      </c>
      <c r="R87" s="7">
        <f t="shared" si="35"/>
        <v>56109.375</v>
      </c>
      <c r="S87" s="7">
        <f>(Table3[[#This Row],[Proposed Revenue]]-I87)/(H87-C87)</f>
        <v>-270.00000000000006</v>
      </c>
      <c r="V87">
        <f>C87+W87*(B87)</f>
        <v>262.5</v>
      </c>
      <c r="W87">
        <f t="shared" si="34"/>
        <v>0.30701754385964913</v>
      </c>
      <c r="X87">
        <f t="shared" si="36"/>
        <v>285</v>
      </c>
    </row>
    <row r="88" spans="1:24">
      <c r="A88" t="str">
        <f>Assumptions!A88</f>
        <v>Sahm - Shelter #1</v>
      </c>
      <c r="B88">
        <f>Assumptions!B88</f>
        <v>135</v>
      </c>
      <c r="C88">
        <f>Assumptions!C88</f>
        <v>26</v>
      </c>
      <c r="D88">
        <f>Assumptions!D88</f>
        <v>-0.5</v>
      </c>
      <c r="E88">
        <f t="shared" si="24"/>
        <v>9.6296296296296297E-2</v>
      </c>
      <c r="F88">
        <f t="shared" si="25"/>
        <v>39</v>
      </c>
      <c r="G88" s="6">
        <v>150</v>
      </c>
      <c r="H88">
        <f t="shared" si="26"/>
        <v>24.555555555555557</v>
      </c>
      <c r="I88">
        <f t="shared" si="27"/>
        <v>3510</v>
      </c>
      <c r="J88">
        <f t="shared" si="28"/>
        <v>3683.3333333333335</v>
      </c>
      <c r="K88">
        <f t="shared" si="29"/>
        <v>4.9382716049382713E-2</v>
      </c>
      <c r="L88">
        <f t="shared" si="30"/>
        <v>-0.58823529411764708</v>
      </c>
      <c r="M88">
        <f>Assumptions!D88</f>
        <v>-0.5</v>
      </c>
      <c r="O88">
        <f t="shared" si="31"/>
        <v>39</v>
      </c>
      <c r="P88" s="9">
        <f t="shared" si="32"/>
        <v>19.5</v>
      </c>
      <c r="Q88" s="10">
        <f t="shared" si="33"/>
        <v>202.5</v>
      </c>
      <c r="R88" s="7">
        <f t="shared" si="35"/>
        <v>3948.75</v>
      </c>
      <c r="S88" s="7">
        <f>(Table3[[#This Row],[Proposed Revenue]]-I88)/(H88-C88)</f>
        <v>-120.00000000000024</v>
      </c>
      <c r="V88">
        <f>C88+W88*(B88)</f>
        <v>39</v>
      </c>
      <c r="W88">
        <f t="shared" si="34"/>
        <v>9.6296296296296297E-2</v>
      </c>
      <c r="X88">
        <f t="shared" si="36"/>
        <v>135</v>
      </c>
    </row>
    <row r="89" spans="1:24">
      <c r="A89" t="str">
        <f>Assumptions!A89</f>
        <v>Sahm - Shelter #2</v>
      </c>
      <c r="B89">
        <f>Assumptions!B89</f>
        <v>110</v>
      </c>
      <c r="C89">
        <f>Assumptions!C89</f>
        <v>12</v>
      </c>
      <c r="D89">
        <f>Assumptions!D89</f>
        <v>-0.5</v>
      </c>
      <c r="E89">
        <f t="shared" si="24"/>
        <v>5.4545454545454543E-2</v>
      </c>
      <c r="F89">
        <f t="shared" si="25"/>
        <v>18</v>
      </c>
      <c r="G89" s="6">
        <v>125</v>
      </c>
      <c r="H89">
        <f t="shared" si="26"/>
        <v>11.181818181818183</v>
      </c>
      <c r="I89">
        <f t="shared" si="27"/>
        <v>1320</v>
      </c>
      <c r="J89">
        <f t="shared" si="28"/>
        <v>1397.727272727273</v>
      </c>
      <c r="K89">
        <f t="shared" si="29"/>
        <v>5.8884297520661377E-2</v>
      </c>
      <c r="L89">
        <f t="shared" si="30"/>
        <v>-0.60975609756097549</v>
      </c>
      <c r="M89">
        <f>Assumptions!D89</f>
        <v>-0.5</v>
      </c>
      <c r="O89">
        <f t="shared" si="31"/>
        <v>18</v>
      </c>
      <c r="P89" s="9">
        <f t="shared" si="32"/>
        <v>9</v>
      </c>
      <c r="Q89" s="10">
        <f t="shared" si="33"/>
        <v>165</v>
      </c>
      <c r="R89" s="7">
        <f t="shared" si="35"/>
        <v>1485</v>
      </c>
      <c r="S89" s="7">
        <f>(Table3[[#This Row],[Proposed Revenue]]-I89)/(H89-C89)</f>
        <v>-95.000000000000497</v>
      </c>
      <c r="V89">
        <f>C89+W89*(B89)</f>
        <v>18</v>
      </c>
      <c r="W89">
        <f t="shared" si="34"/>
        <v>5.4545454545454543E-2</v>
      </c>
      <c r="X89">
        <f t="shared" si="36"/>
        <v>110</v>
      </c>
    </row>
    <row r="90" spans="1:24">
      <c r="A90" t="str">
        <f>Assumptions!A90</f>
        <v>Sahm - Shelter #3</v>
      </c>
      <c r="B90">
        <f>Assumptions!B90</f>
        <v>135</v>
      </c>
      <c r="C90">
        <f>Assumptions!C90</f>
        <v>24</v>
      </c>
      <c r="D90">
        <f>Assumptions!D90</f>
        <v>-0.5</v>
      </c>
      <c r="E90">
        <f t="shared" si="24"/>
        <v>8.8888888888888892E-2</v>
      </c>
      <c r="F90">
        <f t="shared" si="25"/>
        <v>36</v>
      </c>
      <c r="G90" s="6">
        <v>150</v>
      </c>
      <c r="H90">
        <f t="shared" si="26"/>
        <v>22.666666666666664</v>
      </c>
      <c r="I90">
        <f t="shared" si="27"/>
        <v>3240</v>
      </c>
      <c r="J90">
        <f t="shared" si="28"/>
        <v>3399.9999999999995</v>
      </c>
      <c r="K90">
        <f t="shared" si="29"/>
        <v>4.9382716049382491E-2</v>
      </c>
      <c r="L90">
        <f t="shared" si="30"/>
        <v>-0.58823529411764719</v>
      </c>
      <c r="M90">
        <f>Assumptions!D90</f>
        <v>-0.5</v>
      </c>
      <c r="O90">
        <f t="shared" si="31"/>
        <v>36</v>
      </c>
      <c r="P90" s="9">
        <f t="shared" si="32"/>
        <v>18</v>
      </c>
      <c r="Q90" s="10">
        <f t="shared" si="33"/>
        <v>202.5</v>
      </c>
      <c r="R90" s="7">
        <f t="shared" si="35"/>
        <v>3645</v>
      </c>
      <c r="S90" s="7">
        <f>(Table3[[#This Row],[Proposed Revenue]]-I90)/(H90-C90)</f>
        <v>-119.99999999999945</v>
      </c>
      <c r="V90">
        <f>C90+W90*(B90)</f>
        <v>36</v>
      </c>
      <c r="W90">
        <f t="shared" si="34"/>
        <v>8.8888888888888892E-2</v>
      </c>
      <c r="X90">
        <f t="shared" si="36"/>
        <v>135</v>
      </c>
    </row>
    <row r="91" spans="1:24">
      <c r="A91" t="str">
        <f>Assumptions!A91</f>
        <v>Sandorf - Shelter</v>
      </c>
      <c r="B91">
        <f>Assumptions!B91</f>
        <v>85</v>
      </c>
      <c r="C91">
        <f>Assumptions!C91</f>
        <v>11</v>
      </c>
      <c r="D91">
        <f>Assumptions!D91</f>
        <v>-0.5</v>
      </c>
      <c r="E91">
        <f t="shared" si="24"/>
        <v>6.4705882352941183E-2</v>
      </c>
      <c r="F91">
        <f t="shared" si="25"/>
        <v>16.5</v>
      </c>
      <c r="G91" s="6">
        <v>100</v>
      </c>
      <c r="H91">
        <f t="shared" si="26"/>
        <v>10.02941176470588</v>
      </c>
      <c r="I91">
        <f t="shared" si="27"/>
        <v>935</v>
      </c>
      <c r="J91">
        <f t="shared" si="28"/>
        <v>1002.9411764705881</v>
      </c>
      <c r="K91">
        <f t="shared" si="29"/>
        <v>7.2664359861591477E-2</v>
      </c>
      <c r="L91">
        <f t="shared" si="30"/>
        <v>-0.64516129032258085</v>
      </c>
      <c r="M91">
        <f>Assumptions!D91</f>
        <v>-0.5</v>
      </c>
      <c r="O91">
        <f t="shared" si="31"/>
        <v>16.5</v>
      </c>
      <c r="P91" s="9">
        <f t="shared" si="32"/>
        <v>8.25</v>
      </c>
      <c r="Q91" s="10">
        <f t="shared" si="33"/>
        <v>127.49999999999999</v>
      </c>
      <c r="R91" s="7">
        <f t="shared" si="35"/>
        <v>1051.8749999999998</v>
      </c>
      <c r="S91" s="7">
        <f>(Table3[[#This Row],[Proposed Revenue]]-I91)/(H91-C91)</f>
        <v>-69.999999999999687</v>
      </c>
      <c r="V91">
        <f>C91+W91*(B91)</f>
        <v>16.5</v>
      </c>
      <c r="W91">
        <f t="shared" si="34"/>
        <v>6.4705882352941183E-2</v>
      </c>
      <c r="X91">
        <f t="shared" si="36"/>
        <v>85</v>
      </c>
    </row>
    <row r="92" spans="1:24">
      <c r="A92" t="str">
        <f>Assumptions!A92</f>
        <v>SEW - Hay Picnic Knoll A</v>
      </c>
      <c r="B92">
        <f>Assumptions!B92</f>
        <v>120</v>
      </c>
      <c r="C92">
        <f>Assumptions!C92</f>
        <v>14</v>
      </c>
      <c r="D92">
        <f>Assumptions!D92</f>
        <v>-0.5</v>
      </c>
      <c r="E92">
        <f t="shared" si="24"/>
        <v>5.8333333333333334E-2</v>
      </c>
      <c r="F92">
        <f t="shared" si="25"/>
        <v>21</v>
      </c>
      <c r="G92" s="6">
        <v>135</v>
      </c>
      <c r="H92">
        <f t="shared" si="26"/>
        <v>13.125</v>
      </c>
      <c r="I92">
        <f t="shared" si="27"/>
        <v>1680</v>
      </c>
      <c r="J92">
        <f t="shared" si="28"/>
        <v>1771.875</v>
      </c>
      <c r="K92">
        <f t="shared" si="29"/>
        <v>5.46875E-2</v>
      </c>
      <c r="L92">
        <f t="shared" si="30"/>
        <v>-0.6</v>
      </c>
      <c r="M92">
        <f>Assumptions!D92</f>
        <v>-0.5</v>
      </c>
      <c r="O92">
        <f t="shared" si="31"/>
        <v>21</v>
      </c>
      <c r="P92" s="9">
        <f t="shared" si="32"/>
        <v>10.5</v>
      </c>
      <c r="Q92" s="10">
        <f t="shared" si="33"/>
        <v>180</v>
      </c>
      <c r="R92" s="7">
        <f t="shared" si="35"/>
        <v>1890</v>
      </c>
      <c r="S92" s="7">
        <f>(Table3[[#This Row],[Proposed Revenue]]-I92)/(H92-C92)</f>
        <v>-105</v>
      </c>
      <c r="V92">
        <f>C92+W92*(B92)</f>
        <v>21</v>
      </c>
      <c r="W92">
        <f t="shared" si="34"/>
        <v>5.8333333333333334E-2</v>
      </c>
      <c r="X92">
        <f t="shared" si="36"/>
        <v>120</v>
      </c>
    </row>
    <row r="93" spans="1:24">
      <c r="A93" t="str">
        <f>Assumptions!A93</f>
        <v>SEW - Picnic Knoll A (do not rent)</v>
      </c>
      <c r="B93">
        <f>Assumptions!B93</f>
        <v>70</v>
      </c>
      <c r="C93">
        <f>Assumptions!C93</f>
        <v>7</v>
      </c>
      <c r="D93">
        <f>Assumptions!D93</f>
        <v>-0.5</v>
      </c>
      <c r="E93">
        <f t="shared" si="24"/>
        <v>0.05</v>
      </c>
      <c r="F93">
        <f t="shared" si="25"/>
        <v>10.5</v>
      </c>
      <c r="G93" s="6">
        <v>85</v>
      </c>
      <c r="H93">
        <f t="shared" si="26"/>
        <v>6.25</v>
      </c>
      <c r="I93">
        <f t="shared" si="27"/>
        <v>490</v>
      </c>
      <c r="J93">
        <f t="shared" si="28"/>
        <v>531.25</v>
      </c>
      <c r="K93">
        <f t="shared" si="29"/>
        <v>8.418367346938771E-2</v>
      </c>
      <c r="L93">
        <f t="shared" si="30"/>
        <v>-0.68</v>
      </c>
      <c r="M93">
        <f>Assumptions!D93</f>
        <v>-0.5</v>
      </c>
      <c r="O93">
        <f t="shared" si="31"/>
        <v>10.5</v>
      </c>
      <c r="P93" s="9">
        <f t="shared" si="32"/>
        <v>5.25</v>
      </c>
      <c r="Q93" s="10">
        <f t="shared" si="33"/>
        <v>105</v>
      </c>
      <c r="R93" s="7">
        <f t="shared" si="35"/>
        <v>551.25</v>
      </c>
      <c r="S93" s="7">
        <f>(Table3[[#This Row],[Proposed Revenue]]-I93)/(H93-C93)</f>
        <v>-55</v>
      </c>
      <c r="V93">
        <f>C93+W93*(B93)</f>
        <v>10.5</v>
      </c>
      <c r="W93">
        <f t="shared" si="34"/>
        <v>0.05</v>
      </c>
      <c r="X93">
        <f t="shared" si="36"/>
        <v>70</v>
      </c>
    </row>
    <row r="94" spans="1:24">
      <c r="A94" t="str">
        <f>Assumptions!A94</f>
        <v>SEW - Shelter #1</v>
      </c>
      <c r="B94">
        <f>Assumptions!B94</f>
        <v>135</v>
      </c>
      <c r="C94">
        <f>Assumptions!C94</f>
        <v>40</v>
      </c>
      <c r="D94">
        <f>Assumptions!D94</f>
        <v>-0.5</v>
      </c>
      <c r="E94">
        <f t="shared" si="24"/>
        <v>0.14814814814814814</v>
      </c>
      <c r="F94">
        <f t="shared" si="25"/>
        <v>60</v>
      </c>
      <c r="G94" s="6">
        <v>150</v>
      </c>
      <c r="H94">
        <f t="shared" si="26"/>
        <v>37.777777777777779</v>
      </c>
      <c r="I94">
        <f t="shared" si="27"/>
        <v>5400</v>
      </c>
      <c r="J94">
        <f t="shared" si="28"/>
        <v>5666.666666666667</v>
      </c>
      <c r="K94">
        <f t="shared" si="29"/>
        <v>4.9382716049382713E-2</v>
      </c>
      <c r="L94">
        <f t="shared" si="30"/>
        <v>-0.58823529411764708</v>
      </c>
      <c r="M94">
        <f>Assumptions!D94</f>
        <v>-0.5</v>
      </c>
      <c r="O94">
        <f t="shared" si="31"/>
        <v>60</v>
      </c>
      <c r="P94" s="9">
        <f t="shared" si="32"/>
        <v>30</v>
      </c>
      <c r="Q94" s="10">
        <f t="shared" si="33"/>
        <v>202.5</v>
      </c>
      <c r="R94" s="7">
        <f t="shared" si="35"/>
        <v>6075</v>
      </c>
      <c r="S94" s="7">
        <f>(Table3[[#This Row],[Proposed Revenue]]-I94)/(H94-C94)</f>
        <v>-120.00000000000018</v>
      </c>
      <c r="V94">
        <f>C94+W94*(B94)</f>
        <v>60</v>
      </c>
      <c r="W94">
        <f t="shared" si="34"/>
        <v>0.14814814814814814</v>
      </c>
      <c r="X94">
        <f t="shared" si="36"/>
        <v>135</v>
      </c>
    </row>
    <row r="95" spans="1:24">
      <c r="A95" t="str">
        <f>Assumptions!A95</f>
        <v>SEW - Shelter #2</v>
      </c>
      <c r="B95">
        <f>Assumptions!B95</f>
        <v>135</v>
      </c>
      <c r="C95">
        <f>Assumptions!C95</f>
        <v>46</v>
      </c>
      <c r="D95">
        <f>Assumptions!D95</f>
        <v>-0.5</v>
      </c>
      <c r="E95">
        <f t="shared" si="24"/>
        <v>0.17037037037037037</v>
      </c>
      <c r="F95">
        <f t="shared" si="25"/>
        <v>69</v>
      </c>
      <c r="G95" s="6">
        <v>150</v>
      </c>
      <c r="H95">
        <f t="shared" si="26"/>
        <v>43.444444444444443</v>
      </c>
      <c r="I95">
        <f t="shared" si="27"/>
        <v>6210</v>
      </c>
      <c r="J95">
        <f t="shared" si="28"/>
        <v>6516.6666666666661</v>
      </c>
      <c r="K95">
        <f t="shared" si="29"/>
        <v>4.9382716049382713E-2</v>
      </c>
      <c r="L95">
        <f t="shared" si="30"/>
        <v>-0.58823529411764708</v>
      </c>
      <c r="M95">
        <f>Assumptions!D95</f>
        <v>-0.5</v>
      </c>
      <c r="O95">
        <f t="shared" si="31"/>
        <v>69</v>
      </c>
      <c r="P95" s="9">
        <f t="shared" si="32"/>
        <v>34.5</v>
      </c>
      <c r="Q95" s="10">
        <f t="shared" si="33"/>
        <v>202.5</v>
      </c>
      <c r="R95" s="7">
        <f t="shared" si="35"/>
        <v>6986.25</v>
      </c>
      <c r="S95" s="7">
        <f>(Table3[[#This Row],[Proposed Revenue]]-I95)/(H95-C95)</f>
        <v>-119.99999999999969</v>
      </c>
      <c r="V95">
        <f>C95+W95*(B95)</f>
        <v>69</v>
      </c>
      <c r="W95">
        <f t="shared" si="34"/>
        <v>0.17037037037037037</v>
      </c>
      <c r="X95">
        <f t="shared" si="36"/>
        <v>135</v>
      </c>
    </row>
    <row r="96" spans="1:24">
      <c r="A96" t="str">
        <f>Assumptions!A96</f>
        <v>SEW - Shelter #3</v>
      </c>
      <c r="B96">
        <f>Assumptions!B96</f>
        <v>135</v>
      </c>
      <c r="C96">
        <f>Assumptions!C96</f>
        <v>59</v>
      </c>
      <c r="D96">
        <f>Assumptions!D96</f>
        <v>-0.5</v>
      </c>
      <c r="E96">
        <f t="shared" si="24"/>
        <v>0.21851851851851853</v>
      </c>
      <c r="F96">
        <f t="shared" si="25"/>
        <v>88.5</v>
      </c>
      <c r="G96" s="6">
        <v>150</v>
      </c>
      <c r="H96">
        <f t="shared" si="26"/>
        <v>55.722222222222221</v>
      </c>
      <c r="I96">
        <f t="shared" si="27"/>
        <v>7965</v>
      </c>
      <c r="J96">
        <f t="shared" si="28"/>
        <v>8358.3333333333339</v>
      </c>
      <c r="K96">
        <f t="shared" si="29"/>
        <v>4.9382716049382713E-2</v>
      </c>
      <c r="L96">
        <f t="shared" si="30"/>
        <v>-0.58823529411764708</v>
      </c>
      <c r="M96">
        <f>Assumptions!D96</f>
        <v>-0.5</v>
      </c>
      <c r="O96">
        <f t="shared" si="31"/>
        <v>88.5</v>
      </c>
      <c r="P96" s="9">
        <f t="shared" si="32"/>
        <v>44.25</v>
      </c>
      <c r="Q96" s="10">
        <f t="shared" si="33"/>
        <v>202.5</v>
      </c>
      <c r="R96" s="7">
        <f t="shared" si="35"/>
        <v>8960.625</v>
      </c>
      <c r="S96" s="7">
        <f>(Table3[[#This Row],[Proposed Revenue]]-I96)/(H96-C96)</f>
        <v>-120.00000000000016</v>
      </c>
      <c r="V96">
        <f>C96+W96*(B96)</f>
        <v>88.5</v>
      </c>
      <c r="W96">
        <f t="shared" si="34"/>
        <v>0.21851851851851853</v>
      </c>
      <c r="X96">
        <f t="shared" si="36"/>
        <v>135</v>
      </c>
    </row>
    <row r="97" spans="1:24">
      <c r="A97" t="str">
        <f>Assumptions!A97</f>
        <v>SEW - Shelter #4</v>
      </c>
      <c r="B97">
        <f>Assumptions!B97</f>
        <v>135</v>
      </c>
      <c r="C97">
        <f>Assumptions!C97</f>
        <v>51</v>
      </c>
      <c r="D97">
        <f>Assumptions!D97</f>
        <v>-0.5</v>
      </c>
      <c r="E97">
        <f t="shared" si="24"/>
        <v>0.18888888888888888</v>
      </c>
      <c r="F97">
        <f t="shared" si="25"/>
        <v>76.5</v>
      </c>
      <c r="G97" s="6">
        <v>150</v>
      </c>
      <c r="H97">
        <f t="shared" si="26"/>
        <v>48.166666666666671</v>
      </c>
      <c r="I97">
        <f t="shared" si="27"/>
        <v>6885</v>
      </c>
      <c r="J97">
        <f t="shared" si="28"/>
        <v>7225.0000000000009</v>
      </c>
      <c r="K97">
        <f t="shared" si="29"/>
        <v>4.9382716049382935E-2</v>
      </c>
      <c r="L97">
        <f t="shared" si="30"/>
        <v>-0.58823529411764697</v>
      </c>
      <c r="M97">
        <f>Assumptions!D97</f>
        <v>-0.5</v>
      </c>
      <c r="O97">
        <f t="shared" si="31"/>
        <v>76.5</v>
      </c>
      <c r="P97" s="9">
        <f t="shared" si="32"/>
        <v>38.25</v>
      </c>
      <c r="Q97" s="10">
        <f t="shared" si="33"/>
        <v>202.5</v>
      </c>
      <c r="R97" s="7">
        <f t="shared" si="35"/>
        <v>7745.625</v>
      </c>
      <c r="S97" s="7">
        <f>(Table3[[#This Row],[Proposed Revenue]]-I97)/(H97-C97)</f>
        <v>-120.00000000000053</v>
      </c>
      <c r="V97">
        <f>C97+W97*(B97)</f>
        <v>76.5</v>
      </c>
      <c r="W97">
        <f t="shared" si="34"/>
        <v>0.18888888888888888</v>
      </c>
      <c r="X97">
        <f t="shared" si="36"/>
        <v>135</v>
      </c>
    </row>
    <row r="98" spans="1:24">
      <c r="A98" t="str">
        <f>Assumptions!A98</f>
        <v>SEW - Shelter #5</v>
      </c>
      <c r="B98">
        <f>Assumptions!B98</f>
        <v>135</v>
      </c>
      <c r="C98">
        <f>Assumptions!C98</f>
        <v>43</v>
      </c>
      <c r="D98">
        <f>Assumptions!D98</f>
        <v>-0.5</v>
      </c>
      <c r="E98">
        <f t="shared" ref="E98:E114" si="37">-1*D98*C98/B98</f>
        <v>0.15925925925925927</v>
      </c>
      <c r="F98">
        <f t="shared" ref="F98:F99" si="38">C98+E98*B98</f>
        <v>64.5</v>
      </c>
      <c r="G98" s="6">
        <v>150</v>
      </c>
      <c r="H98">
        <f t="shared" ref="H98:H129" si="39">F98-E98*G98</f>
        <v>40.611111111111114</v>
      </c>
      <c r="I98">
        <f t="shared" si="27"/>
        <v>5805</v>
      </c>
      <c r="J98">
        <f t="shared" si="28"/>
        <v>6091.666666666667</v>
      </c>
      <c r="K98">
        <f t="shared" ref="K98:K129" si="40">J98/I98-1</f>
        <v>4.9382716049382713E-2</v>
      </c>
      <c r="L98">
        <f t="shared" si="30"/>
        <v>-0.58823529411764697</v>
      </c>
      <c r="M98">
        <f>Assumptions!D98</f>
        <v>-0.5</v>
      </c>
      <c r="O98">
        <f t="shared" ref="O98:O114" si="41">F98-E98*0</f>
        <v>64.5</v>
      </c>
      <c r="P98" s="9">
        <f t="shared" ref="P98:P129" si="42">F98-E98*Q98</f>
        <v>32.25</v>
      </c>
      <c r="Q98" s="10">
        <f t="shared" ref="Q98:Q114" si="43">V98/(W98*2)</f>
        <v>202.5</v>
      </c>
      <c r="R98" s="7">
        <f t="shared" si="35"/>
        <v>6530.625</v>
      </c>
      <c r="S98" s="7">
        <f>(Table3[[#This Row],[Proposed Revenue]]-I98)/(H98-C98)</f>
        <v>-120.00000000000028</v>
      </c>
      <c r="V98">
        <f>C98+W98*(B98)</f>
        <v>64.5</v>
      </c>
      <c r="W98">
        <f t="shared" ref="W98:W114" si="44">ABS(M98)*(C98/B98)</f>
        <v>0.15925925925925927</v>
      </c>
      <c r="X98">
        <f t="shared" si="36"/>
        <v>135</v>
      </c>
    </row>
    <row r="99" spans="1:24">
      <c r="A99" t="str">
        <f>Assumptions!A99</f>
        <v>SEW - Shelter #6</v>
      </c>
      <c r="B99">
        <f>Assumptions!B99</f>
        <v>135</v>
      </c>
      <c r="C99">
        <f>Assumptions!C99</f>
        <v>43</v>
      </c>
      <c r="D99">
        <f>Assumptions!D99</f>
        <v>-0.5</v>
      </c>
      <c r="E99">
        <f t="shared" si="37"/>
        <v>0.15925925925925927</v>
      </c>
      <c r="F99">
        <f t="shared" si="38"/>
        <v>64.5</v>
      </c>
      <c r="G99" s="6">
        <v>150</v>
      </c>
      <c r="H99">
        <f t="shared" si="39"/>
        <v>40.611111111111114</v>
      </c>
      <c r="I99">
        <f t="shared" si="27"/>
        <v>5805</v>
      </c>
      <c r="J99">
        <f t="shared" si="28"/>
        <v>6091.666666666667</v>
      </c>
      <c r="K99">
        <f t="shared" si="40"/>
        <v>4.9382716049382713E-2</v>
      </c>
      <c r="L99">
        <f t="shared" si="30"/>
        <v>-0.58823529411764697</v>
      </c>
      <c r="M99">
        <f>Assumptions!D99</f>
        <v>-0.5</v>
      </c>
      <c r="O99">
        <f t="shared" si="41"/>
        <v>64.5</v>
      </c>
      <c r="P99" s="9">
        <f t="shared" si="42"/>
        <v>32.25</v>
      </c>
      <c r="Q99" s="10">
        <f t="shared" si="43"/>
        <v>202.5</v>
      </c>
      <c r="R99" s="7">
        <f t="shared" si="35"/>
        <v>6530.625</v>
      </c>
      <c r="S99" s="7">
        <f>(Table3[[#This Row],[Proposed Revenue]]-I99)/(H99-C99)</f>
        <v>-120.00000000000028</v>
      </c>
      <c r="V99">
        <f>C99+W99*(B99)</f>
        <v>64.5</v>
      </c>
      <c r="W99">
        <f t="shared" si="44"/>
        <v>0.15925925925925927</v>
      </c>
      <c r="X99">
        <f t="shared" si="36"/>
        <v>135</v>
      </c>
    </row>
    <row r="100" spans="1:24">
      <c r="A100" t="str">
        <f>Assumptions!A100</f>
        <v>Southwestway - Shelter #1</v>
      </c>
      <c r="B100">
        <f>Assumptions!B100</f>
        <v>135</v>
      </c>
      <c r="C100">
        <f>Assumptions!C100</f>
        <v>13</v>
      </c>
      <c r="D100">
        <f>Assumptions!D100</f>
        <v>-0.5</v>
      </c>
      <c r="E100">
        <f t="shared" si="37"/>
        <v>4.8148148148148148E-2</v>
      </c>
      <c r="F100">
        <f>C100+E100*B100</f>
        <v>19.5</v>
      </c>
      <c r="G100" s="6">
        <v>150</v>
      </c>
      <c r="H100">
        <f t="shared" si="39"/>
        <v>12.277777777777779</v>
      </c>
      <c r="I100">
        <f t="shared" si="27"/>
        <v>1755</v>
      </c>
      <c r="J100">
        <f t="shared" si="28"/>
        <v>1841.6666666666667</v>
      </c>
      <c r="K100">
        <f t="shared" si="40"/>
        <v>4.9382716049382713E-2</v>
      </c>
      <c r="L100">
        <f t="shared" si="30"/>
        <v>-0.58823529411764708</v>
      </c>
      <c r="M100">
        <f>Assumptions!D100</f>
        <v>-0.5</v>
      </c>
      <c r="O100">
        <f t="shared" si="41"/>
        <v>19.5</v>
      </c>
      <c r="P100" s="9">
        <f t="shared" si="42"/>
        <v>9.75</v>
      </c>
      <c r="Q100" s="10">
        <f t="shared" si="43"/>
        <v>202.5</v>
      </c>
      <c r="R100" s="7">
        <f t="shared" si="35"/>
        <v>1974.375</v>
      </c>
      <c r="S100" s="7">
        <f>(Table3[[#This Row],[Proposed Revenue]]-I100)/(H100-C100)</f>
        <v>-120.00000000000024</v>
      </c>
      <c r="V100">
        <f>C100+W100*(B100)</f>
        <v>19.5</v>
      </c>
      <c r="W100">
        <f t="shared" si="44"/>
        <v>4.8148148148148148E-2</v>
      </c>
      <c r="X100">
        <f t="shared" si="36"/>
        <v>135</v>
      </c>
    </row>
    <row r="101" spans="1:24">
      <c r="A101" t="str">
        <f>Assumptions!A101</f>
        <v>Spades - Pagoda</v>
      </c>
      <c r="B101">
        <f>Assumptions!B101</f>
        <v>0</v>
      </c>
      <c r="C101">
        <f>Assumptions!C101</f>
        <v>1</v>
      </c>
      <c r="D101">
        <f>Assumptions!D101</f>
        <v>-0.5</v>
      </c>
      <c r="E101" t="e">
        <f t="shared" si="37"/>
        <v>#DIV/0!</v>
      </c>
      <c r="F101" t="e">
        <f t="shared" ref="F101:F114" si="45">C101+E101*B101</f>
        <v>#DIV/0!</v>
      </c>
      <c r="G101" s="6">
        <v>15</v>
      </c>
      <c r="H101" t="e">
        <f t="shared" ref="H101:H114" si="46">F101-E101*G101</f>
        <v>#DIV/0!</v>
      </c>
      <c r="I101">
        <f t="shared" si="27"/>
        <v>0</v>
      </c>
      <c r="J101" t="e">
        <f t="shared" ref="J101:J114" si="47">G101*H101</f>
        <v>#DIV/0!</v>
      </c>
      <c r="K101" t="e">
        <f t="shared" si="40"/>
        <v>#DIV/0!</v>
      </c>
      <c r="L101" t="e">
        <f t="shared" si="30"/>
        <v>#DIV/0!</v>
      </c>
      <c r="M101">
        <f>Assumptions!D101</f>
        <v>-0.5</v>
      </c>
      <c r="O101" t="e">
        <f t="shared" si="41"/>
        <v>#DIV/0!</v>
      </c>
      <c r="P101" s="9" t="e">
        <f t="shared" si="42"/>
        <v>#DIV/0!</v>
      </c>
      <c r="Q101" s="10" t="e">
        <f t="shared" si="43"/>
        <v>#DIV/0!</v>
      </c>
      <c r="R101" s="7" t="e">
        <f t="shared" si="35"/>
        <v>#DIV/0!</v>
      </c>
      <c r="S101" s="7" t="e">
        <f>(Table3[[#This Row],[Proposed Revenue]]-I101)/(H101-C101)</f>
        <v>#DIV/0!</v>
      </c>
      <c r="V101" t="e">
        <f>C101+W101*(B101)</f>
        <v>#DIV/0!</v>
      </c>
      <c r="W101" t="e">
        <f t="shared" si="44"/>
        <v>#DIV/0!</v>
      </c>
      <c r="X101">
        <f t="shared" si="36"/>
        <v>0</v>
      </c>
    </row>
    <row r="102" spans="1:24">
      <c r="A102" t="str">
        <f>Assumptions!A102</f>
        <v>Stanley Strader (Bethel) - Shelter #1</v>
      </c>
      <c r="B102">
        <f>Assumptions!B102</f>
        <v>110</v>
      </c>
      <c r="C102">
        <f>Assumptions!C102</f>
        <v>10</v>
      </c>
      <c r="D102">
        <f>Assumptions!D102</f>
        <v>-0.5</v>
      </c>
      <c r="E102">
        <f t="shared" si="37"/>
        <v>4.5454545454545456E-2</v>
      </c>
      <c r="F102">
        <f t="shared" si="45"/>
        <v>15</v>
      </c>
      <c r="G102" s="6">
        <v>125</v>
      </c>
      <c r="H102" s="7">
        <f>F102-E102*G102</f>
        <v>9.3181818181818183</v>
      </c>
      <c r="I102">
        <f t="shared" si="27"/>
        <v>1100</v>
      </c>
      <c r="J102">
        <f t="shared" si="47"/>
        <v>1164.7727272727273</v>
      </c>
      <c r="M102">
        <f>Assumptions!D102</f>
        <v>-0.5</v>
      </c>
      <c r="O102">
        <f t="shared" si="41"/>
        <v>15</v>
      </c>
      <c r="P102" s="9">
        <f t="shared" si="42"/>
        <v>7.5</v>
      </c>
      <c r="Q102" s="10">
        <f t="shared" si="43"/>
        <v>165</v>
      </c>
      <c r="R102" s="7">
        <f t="shared" si="35"/>
        <v>1237.5</v>
      </c>
      <c r="S102" s="7">
        <f>(Table3[[#This Row],[Proposed Revenue]]-I102)/(H102-C102)</f>
        <v>-94.999999999999986</v>
      </c>
      <c r="V102">
        <f>C102+W102*(B102)</f>
        <v>15</v>
      </c>
      <c r="W102">
        <f t="shared" si="44"/>
        <v>4.5454545454545456E-2</v>
      </c>
      <c r="X102">
        <f t="shared" si="36"/>
        <v>110</v>
      </c>
    </row>
    <row r="103" spans="1:24">
      <c r="A103" t="str">
        <f>Assumptions!A103</f>
        <v>Stout - Shelter</v>
      </c>
      <c r="B103">
        <f>Assumptions!B103</f>
        <v>45</v>
      </c>
      <c r="C103">
        <f>Assumptions!C103</f>
        <v>12</v>
      </c>
      <c r="D103">
        <f>Assumptions!D103</f>
        <v>-0.5</v>
      </c>
      <c r="E103">
        <f t="shared" si="37"/>
        <v>0.13333333333333333</v>
      </c>
      <c r="F103">
        <f t="shared" si="45"/>
        <v>18</v>
      </c>
      <c r="G103" s="6">
        <v>60</v>
      </c>
      <c r="H103">
        <f t="shared" si="46"/>
        <v>10</v>
      </c>
      <c r="I103">
        <f t="shared" si="27"/>
        <v>540</v>
      </c>
      <c r="J103">
        <f t="shared" si="47"/>
        <v>600</v>
      </c>
      <c r="M103">
        <f>Assumptions!D103</f>
        <v>-0.5</v>
      </c>
      <c r="O103">
        <f t="shared" si="41"/>
        <v>18</v>
      </c>
      <c r="P103" s="9">
        <f t="shared" si="42"/>
        <v>9</v>
      </c>
      <c r="Q103" s="10">
        <f t="shared" si="43"/>
        <v>67.5</v>
      </c>
      <c r="R103" s="7">
        <f t="shared" si="35"/>
        <v>607.5</v>
      </c>
      <c r="S103" s="7">
        <f>(Table3[[#This Row],[Proposed Revenue]]-I103)/(H103-C103)</f>
        <v>-30</v>
      </c>
      <c r="V103">
        <f>C103+W103*(B103)</f>
        <v>18</v>
      </c>
      <c r="W103">
        <f t="shared" si="44"/>
        <v>0.13333333333333333</v>
      </c>
      <c r="X103">
        <f t="shared" si="36"/>
        <v>45</v>
      </c>
    </row>
    <row r="104" spans="1:24">
      <c r="A104" t="str">
        <f>Assumptions!A104</f>
        <v>Thatcher - Shelter #1</v>
      </c>
      <c r="B104">
        <f>Assumptions!B104</f>
        <v>85</v>
      </c>
      <c r="C104">
        <f>Assumptions!C104</f>
        <v>23</v>
      </c>
      <c r="D104">
        <f>Assumptions!D104</f>
        <v>-0.5</v>
      </c>
      <c r="E104">
        <f t="shared" si="37"/>
        <v>0.13529411764705881</v>
      </c>
      <c r="F104">
        <f t="shared" si="45"/>
        <v>34.5</v>
      </c>
      <c r="G104" s="6">
        <v>100</v>
      </c>
      <c r="H104">
        <f t="shared" si="46"/>
        <v>20.970588235294116</v>
      </c>
      <c r="I104">
        <f t="shared" si="27"/>
        <v>1955</v>
      </c>
      <c r="J104">
        <f t="shared" si="47"/>
        <v>2097.0588235294117</v>
      </c>
      <c r="M104">
        <f>Assumptions!D104</f>
        <v>-0.5</v>
      </c>
      <c r="O104">
        <f t="shared" si="41"/>
        <v>34.5</v>
      </c>
      <c r="P104" s="9">
        <f t="shared" si="42"/>
        <v>17.25</v>
      </c>
      <c r="Q104" s="10">
        <f t="shared" si="43"/>
        <v>127.50000000000001</v>
      </c>
      <c r="R104" s="7">
        <f t="shared" si="35"/>
        <v>2199.3750000000005</v>
      </c>
      <c r="S104" s="7">
        <f>(Table3[[#This Row],[Proposed Revenue]]-I104)/(H104-C104)</f>
        <v>-69.999999999999915</v>
      </c>
      <c r="V104">
        <f>C104+W104*(B104)</f>
        <v>34.5</v>
      </c>
      <c r="W104">
        <f t="shared" si="44"/>
        <v>0.13529411764705881</v>
      </c>
      <c r="X104">
        <f t="shared" si="36"/>
        <v>85</v>
      </c>
    </row>
    <row r="105" spans="1:24">
      <c r="A105" t="str">
        <f>Assumptions!A105</f>
        <v>Thatcher - Shelter #2</v>
      </c>
      <c r="B105">
        <f>Assumptions!B105</f>
        <v>75</v>
      </c>
      <c r="C105">
        <f>Assumptions!C105</f>
        <v>18</v>
      </c>
      <c r="D105">
        <f>Assumptions!D105</f>
        <v>-0.5</v>
      </c>
      <c r="E105">
        <f t="shared" si="37"/>
        <v>0.12</v>
      </c>
      <c r="F105">
        <f t="shared" si="45"/>
        <v>27</v>
      </c>
      <c r="G105" s="6">
        <v>90</v>
      </c>
      <c r="H105">
        <f t="shared" si="46"/>
        <v>16.200000000000003</v>
      </c>
      <c r="I105">
        <f t="shared" si="27"/>
        <v>1350</v>
      </c>
      <c r="J105">
        <f t="shared" si="47"/>
        <v>1458.0000000000002</v>
      </c>
      <c r="M105">
        <f>Assumptions!D105</f>
        <v>-0.5</v>
      </c>
      <c r="O105">
        <f t="shared" si="41"/>
        <v>27</v>
      </c>
      <c r="P105" s="9">
        <f t="shared" si="42"/>
        <v>13.5</v>
      </c>
      <c r="Q105" s="10">
        <f t="shared" si="43"/>
        <v>112.5</v>
      </c>
      <c r="R105" s="7">
        <f t="shared" si="35"/>
        <v>1518.75</v>
      </c>
      <c r="S105" s="7">
        <f>(Table3[[#This Row],[Proposed Revenue]]-I105)/(H105-C105)</f>
        <v>-60.00000000000022</v>
      </c>
      <c r="V105">
        <f>C105+W105*(B105)</f>
        <v>27</v>
      </c>
      <c r="W105">
        <f t="shared" si="44"/>
        <v>0.12</v>
      </c>
      <c r="X105">
        <f t="shared" si="36"/>
        <v>75</v>
      </c>
    </row>
    <row r="106" spans="1:24">
      <c r="A106" t="str">
        <f>Assumptions!A106</f>
        <v>Thompson - Shelter</v>
      </c>
      <c r="B106">
        <f>Assumptions!B106</f>
        <v>100</v>
      </c>
      <c r="C106">
        <f>Assumptions!C106</f>
        <v>9</v>
      </c>
      <c r="D106">
        <f>Assumptions!D106</f>
        <v>-0.5</v>
      </c>
      <c r="E106">
        <f t="shared" si="37"/>
        <v>4.4999999999999998E-2</v>
      </c>
      <c r="F106">
        <f t="shared" si="45"/>
        <v>13.5</v>
      </c>
      <c r="G106" s="6">
        <v>115</v>
      </c>
      <c r="H106">
        <f t="shared" si="46"/>
        <v>8.3249999999999993</v>
      </c>
      <c r="I106">
        <f t="shared" si="27"/>
        <v>900</v>
      </c>
      <c r="J106">
        <f t="shared" si="47"/>
        <v>957.37499999999989</v>
      </c>
      <c r="M106">
        <f>Assumptions!D106</f>
        <v>-0.5</v>
      </c>
      <c r="O106">
        <f t="shared" si="41"/>
        <v>13.5</v>
      </c>
      <c r="P106" s="9">
        <f t="shared" si="42"/>
        <v>6.75</v>
      </c>
      <c r="Q106" s="10">
        <f t="shared" si="43"/>
        <v>150</v>
      </c>
      <c r="R106" s="7">
        <f t="shared" si="35"/>
        <v>1012.5</v>
      </c>
      <c r="S106" s="7">
        <f>(Table3[[#This Row],[Proposed Revenue]]-I106)/(H106-C106)</f>
        <v>-84.999999999999744</v>
      </c>
      <c r="V106">
        <f>C106+W106*(B106)</f>
        <v>13.5</v>
      </c>
      <c r="W106">
        <f t="shared" si="44"/>
        <v>4.4999999999999998E-2</v>
      </c>
      <c r="X106">
        <f t="shared" si="36"/>
        <v>100</v>
      </c>
    </row>
    <row r="107" spans="1:24">
      <c r="A107" t="str">
        <f>Assumptions!A107</f>
        <v>Washington Park - Shelter #1</v>
      </c>
      <c r="B107">
        <f>Assumptions!B107</f>
        <v>110</v>
      </c>
      <c r="C107">
        <f>Assumptions!C107</f>
        <v>13</v>
      </c>
      <c r="D107">
        <f>Assumptions!D107</f>
        <v>-0.5</v>
      </c>
      <c r="E107">
        <f t="shared" si="37"/>
        <v>5.909090909090909E-2</v>
      </c>
      <c r="F107">
        <f t="shared" si="45"/>
        <v>19.5</v>
      </c>
      <c r="G107" s="6">
        <v>125</v>
      </c>
      <c r="H107">
        <f t="shared" si="46"/>
        <v>12.113636363636363</v>
      </c>
      <c r="I107">
        <f t="shared" si="27"/>
        <v>1430</v>
      </c>
      <c r="J107">
        <f t="shared" si="47"/>
        <v>1514.2045454545455</v>
      </c>
      <c r="M107">
        <f>Assumptions!D107</f>
        <v>-0.5</v>
      </c>
      <c r="O107">
        <f t="shared" si="41"/>
        <v>19.5</v>
      </c>
      <c r="P107" s="9">
        <f t="shared" si="42"/>
        <v>9.75</v>
      </c>
      <c r="Q107" s="10">
        <f t="shared" si="43"/>
        <v>165</v>
      </c>
      <c r="R107" s="7">
        <f t="shared" si="35"/>
        <v>1608.75</v>
      </c>
      <c r="S107" s="7">
        <f>(Table3[[#This Row],[Proposed Revenue]]-I107)/(H107-C107)</f>
        <v>-95.000000000000014</v>
      </c>
      <c r="V107">
        <f>C107+W107*(B107)</f>
        <v>19.5</v>
      </c>
      <c r="W107">
        <f t="shared" si="44"/>
        <v>5.909090909090909E-2</v>
      </c>
      <c r="X107">
        <f t="shared" si="36"/>
        <v>110</v>
      </c>
    </row>
    <row r="108" spans="1:24">
      <c r="A108" t="str">
        <f>Assumptions!A108</f>
        <v>Washington Park - Shelter #2</v>
      </c>
      <c r="B108">
        <f>Assumptions!B108</f>
        <v>110</v>
      </c>
      <c r="C108">
        <f>Assumptions!C108</f>
        <v>5</v>
      </c>
      <c r="D108">
        <f>Assumptions!D108</f>
        <v>-0.5</v>
      </c>
      <c r="E108">
        <f t="shared" si="37"/>
        <v>2.2727272727272728E-2</v>
      </c>
      <c r="F108">
        <f t="shared" si="45"/>
        <v>7.5</v>
      </c>
      <c r="G108" s="6">
        <v>125</v>
      </c>
      <c r="H108">
        <f t="shared" si="46"/>
        <v>4.6590909090909092</v>
      </c>
      <c r="I108">
        <f t="shared" si="27"/>
        <v>550</v>
      </c>
      <c r="J108">
        <f t="shared" si="47"/>
        <v>582.38636363636363</v>
      </c>
      <c r="M108">
        <f>Assumptions!D108</f>
        <v>-0.5</v>
      </c>
      <c r="O108">
        <f t="shared" si="41"/>
        <v>7.5</v>
      </c>
      <c r="P108" s="9">
        <f t="shared" si="42"/>
        <v>3.75</v>
      </c>
      <c r="Q108" s="10">
        <f t="shared" si="43"/>
        <v>165</v>
      </c>
      <c r="R108" s="7">
        <f t="shared" si="35"/>
        <v>618.75</v>
      </c>
      <c r="S108" s="7">
        <f>(Table3[[#This Row],[Proposed Revenue]]-I108)/(H108-C108)</f>
        <v>-94.999999999999986</v>
      </c>
      <c r="V108">
        <f>C108+W108*(B108)</f>
        <v>7.5</v>
      </c>
      <c r="W108">
        <f t="shared" si="44"/>
        <v>2.2727272727272728E-2</v>
      </c>
      <c r="X108">
        <f t="shared" si="36"/>
        <v>110</v>
      </c>
    </row>
    <row r="109" spans="1:24">
      <c r="A109" t="str">
        <f>Assumptions!A109</f>
        <v>Watkins - Shelter #1</v>
      </c>
      <c r="B109">
        <f>Assumptions!B109</f>
        <v>110</v>
      </c>
      <c r="C109">
        <f>Assumptions!C109</f>
        <v>8</v>
      </c>
      <c r="D109">
        <f>Assumptions!D109</f>
        <v>-0.5</v>
      </c>
      <c r="E109">
        <f t="shared" si="37"/>
        <v>3.6363636363636362E-2</v>
      </c>
      <c r="F109">
        <f t="shared" si="45"/>
        <v>12</v>
      </c>
      <c r="G109" s="6">
        <v>125</v>
      </c>
      <c r="H109">
        <f t="shared" si="46"/>
        <v>7.454545454545455</v>
      </c>
      <c r="I109">
        <f t="shared" si="27"/>
        <v>880</v>
      </c>
      <c r="J109">
        <f t="shared" si="47"/>
        <v>931.81818181818187</v>
      </c>
      <c r="M109">
        <f>Assumptions!D109</f>
        <v>-0.5</v>
      </c>
      <c r="O109">
        <f t="shared" si="41"/>
        <v>12</v>
      </c>
      <c r="P109" s="9">
        <f t="shared" si="42"/>
        <v>6</v>
      </c>
      <c r="Q109" s="10">
        <f t="shared" si="43"/>
        <v>165</v>
      </c>
      <c r="R109" s="7">
        <f t="shared" si="35"/>
        <v>990</v>
      </c>
      <c r="S109" s="7">
        <f>(Table3[[#This Row],[Proposed Revenue]]-I109)/(H109-C109)</f>
        <v>-95.000000000000185</v>
      </c>
      <c r="V109">
        <f>C109+W109*(B109)</f>
        <v>12</v>
      </c>
      <c r="W109">
        <f t="shared" si="44"/>
        <v>3.6363636363636362E-2</v>
      </c>
      <c r="X109">
        <f t="shared" si="36"/>
        <v>110</v>
      </c>
    </row>
    <row r="110" spans="1:24">
      <c r="A110" t="str">
        <f>Assumptions!A110</f>
        <v>Wes Montgomery - Shelter 1</v>
      </c>
      <c r="B110">
        <f>Assumptions!B110</f>
        <v>110</v>
      </c>
      <c r="C110">
        <f>Assumptions!C110</f>
        <v>11</v>
      </c>
      <c r="D110">
        <f>Assumptions!D110</f>
        <v>-0.5</v>
      </c>
      <c r="E110">
        <f t="shared" si="37"/>
        <v>0.05</v>
      </c>
      <c r="F110">
        <f t="shared" si="45"/>
        <v>16.5</v>
      </c>
      <c r="G110" s="6">
        <v>125</v>
      </c>
      <c r="H110">
        <f t="shared" si="46"/>
        <v>10.25</v>
      </c>
      <c r="I110">
        <f t="shared" si="27"/>
        <v>1210</v>
      </c>
      <c r="J110">
        <f t="shared" si="47"/>
        <v>1281.25</v>
      </c>
      <c r="M110">
        <f>Assumptions!D110</f>
        <v>-0.5</v>
      </c>
      <c r="O110">
        <f t="shared" si="41"/>
        <v>16.5</v>
      </c>
      <c r="P110" s="9">
        <f t="shared" si="42"/>
        <v>8.25</v>
      </c>
      <c r="Q110" s="10">
        <f t="shared" si="43"/>
        <v>165</v>
      </c>
      <c r="R110" s="7">
        <f t="shared" si="35"/>
        <v>1361.25</v>
      </c>
      <c r="S110" s="7">
        <f>(Table3[[#This Row],[Proposed Revenue]]-I110)/(H110-C110)</f>
        <v>-95</v>
      </c>
      <c r="V110">
        <f>C110+W110*(B110)</f>
        <v>16.5</v>
      </c>
      <c r="W110">
        <f t="shared" si="44"/>
        <v>0.05</v>
      </c>
      <c r="X110">
        <f t="shared" si="36"/>
        <v>110</v>
      </c>
    </row>
    <row r="111" spans="1:24">
      <c r="A111" t="str">
        <f>Assumptions!A111</f>
        <v>Wes Montgomery - Shelter 2</v>
      </c>
      <c r="B111">
        <f>Assumptions!B111</f>
        <v>85</v>
      </c>
      <c r="C111">
        <f>Assumptions!C111</f>
        <v>8</v>
      </c>
      <c r="D111">
        <f>Assumptions!D111</f>
        <v>-0.5</v>
      </c>
      <c r="E111">
        <f t="shared" si="37"/>
        <v>4.7058823529411764E-2</v>
      </c>
      <c r="F111">
        <f t="shared" si="45"/>
        <v>12</v>
      </c>
      <c r="G111" s="6">
        <v>100</v>
      </c>
      <c r="H111">
        <f t="shared" si="46"/>
        <v>7.2941176470588234</v>
      </c>
      <c r="I111">
        <f t="shared" si="27"/>
        <v>680</v>
      </c>
      <c r="J111">
        <f t="shared" si="47"/>
        <v>729.41176470588232</v>
      </c>
      <c r="M111">
        <f>Assumptions!D111</f>
        <v>-0.5</v>
      </c>
      <c r="O111">
        <f t="shared" si="41"/>
        <v>12</v>
      </c>
      <c r="P111" s="9">
        <f t="shared" si="42"/>
        <v>6</v>
      </c>
      <c r="Q111" s="10">
        <f t="shared" si="43"/>
        <v>127.5</v>
      </c>
      <c r="R111" s="7">
        <f t="shared" si="35"/>
        <v>765</v>
      </c>
      <c r="S111" s="7">
        <f>(Table3[[#This Row],[Proposed Revenue]]-I111)/(H111-C111)</f>
        <v>-69.999999999999943</v>
      </c>
      <c r="V111">
        <f>C111+W111*(B111)</f>
        <v>12</v>
      </c>
      <c r="W111">
        <f t="shared" si="44"/>
        <v>4.7058823529411764E-2</v>
      </c>
      <c r="X111">
        <f t="shared" si="36"/>
        <v>85</v>
      </c>
    </row>
    <row r="112" spans="1:24">
      <c r="A112" t="str">
        <f>Assumptions!A112</f>
        <v>Wildwood - Shelter 1</v>
      </c>
      <c r="B112">
        <f>Assumptions!B112</f>
        <v>85</v>
      </c>
      <c r="C112">
        <f>Assumptions!C112</f>
        <v>24</v>
      </c>
      <c r="D112">
        <f>Assumptions!D112</f>
        <v>-0.5</v>
      </c>
      <c r="E112">
        <f t="shared" si="37"/>
        <v>0.14117647058823529</v>
      </c>
      <c r="F112">
        <f t="shared" si="45"/>
        <v>36</v>
      </c>
      <c r="G112" s="6">
        <v>100</v>
      </c>
      <c r="H112">
        <f>F112-E112*G112</f>
        <v>21.882352941176471</v>
      </c>
      <c r="I112">
        <f t="shared" si="27"/>
        <v>2040</v>
      </c>
      <c r="J112">
        <f t="shared" si="47"/>
        <v>2188.2352941176473</v>
      </c>
      <c r="M112">
        <f>Assumptions!D112</f>
        <v>-0.5</v>
      </c>
      <c r="O112">
        <f t="shared" si="41"/>
        <v>36</v>
      </c>
      <c r="P112" s="9">
        <f t="shared" si="42"/>
        <v>18</v>
      </c>
      <c r="Q112" s="10">
        <f t="shared" si="43"/>
        <v>127.5</v>
      </c>
      <c r="R112" s="7">
        <f t="shared" si="35"/>
        <v>2295</v>
      </c>
      <c r="S112" s="7">
        <f>(Table3[[#This Row],[Proposed Revenue]]-I112)/(H112-C112)</f>
        <v>-70.000000000000128</v>
      </c>
      <c r="V112">
        <f>C112+W112*(B112)</f>
        <v>36</v>
      </c>
      <c r="W112">
        <f t="shared" si="44"/>
        <v>0.14117647058823529</v>
      </c>
      <c r="X112">
        <f t="shared" si="36"/>
        <v>85</v>
      </c>
    </row>
    <row r="113" spans="1:24">
      <c r="A113" t="str">
        <f>Assumptions!A113</f>
        <v>Windsor- Shelter</v>
      </c>
      <c r="B113">
        <f>Assumptions!B113</f>
        <v>85</v>
      </c>
      <c r="C113">
        <f>Assumptions!C113</f>
        <v>5</v>
      </c>
      <c r="D113">
        <f>Assumptions!D113</f>
        <v>-0.5</v>
      </c>
      <c r="E113">
        <f t="shared" si="37"/>
        <v>2.9411764705882353E-2</v>
      </c>
      <c r="F113">
        <f t="shared" si="45"/>
        <v>7.5</v>
      </c>
      <c r="G113" s="6">
        <v>100</v>
      </c>
      <c r="H113">
        <f t="shared" si="46"/>
        <v>4.5588235294117645</v>
      </c>
      <c r="I113">
        <f t="shared" si="27"/>
        <v>425</v>
      </c>
      <c r="J113">
        <f t="shared" si="47"/>
        <v>455.88235294117646</v>
      </c>
      <c r="M113">
        <f>Assumptions!D113</f>
        <v>-0.5</v>
      </c>
      <c r="O113">
        <f t="shared" si="41"/>
        <v>7.5</v>
      </c>
      <c r="P113" s="9">
        <f t="shared" si="42"/>
        <v>3.75</v>
      </c>
      <c r="Q113" s="10">
        <f t="shared" si="43"/>
        <v>127.5</v>
      </c>
      <c r="R113" s="7">
        <f t="shared" si="35"/>
        <v>478.125</v>
      </c>
      <c r="S113" s="7">
        <f>(Table3[[#This Row],[Proposed Revenue]]-I113)/(H113-C113)</f>
        <v>-69.999999999999957</v>
      </c>
      <c r="V113">
        <f>C113+W113*(B113)</f>
        <v>7.5</v>
      </c>
      <c r="W113">
        <f t="shared" si="44"/>
        <v>2.9411764705882353E-2</v>
      </c>
      <c r="X113">
        <f t="shared" si="36"/>
        <v>85</v>
      </c>
    </row>
    <row r="114" spans="1:24">
      <c r="A114" t="str">
        <f>Assumptions!A114</f>
        <v>WISH - Shelter</v>
      </c>
      <c r="B114">
        <f>Assumptions!B114</f>
        <v>85</v>
      </c>
      <c r="C114">
        <f>Assumptions!C114</f>
        <v>8</v>
      </c>
      <c r="D114">
        <f>Assumptions!D114</f>
        <v>-0.5</v>
      </c>
      <c r="E114">
        <f t="shared" si="37"/>
        <v>4.7058823529411764E-2</v>
      </c>
      <c r="F114">
        <f t="shared" si="45"/>
        <v>12</v>
      </c>
      <c r="G114" s="6">
        <v>100</v>
      </c>
      <c r="H114">
        <f t="shared" si="46"/>
        <v>7.2941176470588234</v>
      </c>
      <c r="I114">
        <f t="shared" si="27"/>
        <v>680</v>
      </c>
      <c r="J114">
        <f t="shared" si="47"/>
        <v>729.41176470588232</v>
      </c>
      <c r="M114">
        <f>Assumptions!D114</f>
        <v>-0.5</v>
      </c>
      <c r="O114">
        <f t="shared" si="41"/>
        <v>12</v>
      </c>
      <c r="P114" s="9">
        <f t="shared" si="42"/>
        <v>6</v>
      </c>
      <c r="Q114" s="10">
        <f t="shared" si="43"/>
        <v>127.5</v>
      </c>
      <c r="R114" s="7">
        <f t="shared" si="35"/>
        <v>765</v>
      </c>
      <c r="S114" s="7">
        <f>(Table3[[#This Row],[Proposed Revenue]]-I114)/(H114-C114)</f>
        <v>-69.999999999999943</v>
      </c>
      <c r="V114">
        <f>C114+W114*(B114)</f>
        <v>12</v>
      </c>
      <c r="W114">
        <f t="shared" si="44"/>
        <v>4.7058823529411764E-2</v>
      </c>
      <c r="X114">
        <f t="shared" si="36"/>
        <v>85</v>
      </c>
    </row>
    <row r="116" spans="1:24" ht="15" customHeight="1">
      <c r="I116" s="8" t="s">
        <v>142</v>
      </c>
      <c r="J116" s="7">
        <f>SUMIF(Table3[Proposed Revenue], "&lt;&gt;#DIV/0!")</f>
        <v>494301.83737083344</v>
      </c>
      <c r="Q116" s="2" t="s">
        <v>143</v>
      </c>
      <c r="R116" s="7">
        <f>SUMIF(Table9[proposed  max profit], "&lt;&gt;#DIV/0!")</f>
        <v>532203.75</v>
      </c>
    </row>
    <row r="117" spans="1:24" ht="15" customHeight="1">
      <c r="H117" s="8" t="s">
        <v>144</v>
      </c>
      <c r="J117" s="7">
        <f>SUM(I2:I114)</f>
        <v>473070</v>
      </c>
    </row>
  </sheetData>
  <pageMargins left="0.75" right="0.75" top="1" bottom="1" header="0.5" footer="0.5"/>
  <pageSetup orientation="portrait" r:id="rId1"/>
  <legacy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topLeftCell="B6" workbookViewId="0">
      <selection activeCell="B6" sqref="B6"/>
    </sheetView>
  </sheetViews>
  <sheetFormatPr defaultRowHeight="14.45"/>
  <cols>
    <col min="1" max="1" width="10" customWidth="1"/>
    <col min="2" max="2" width="16" customWidth="1"/>
    <col min="3" max="4" width="18" customWidth="1"/>
  </cols>
  <sheetData>
    <row r="1" spans="1:7">
      <c r="A1" s="1"/>
    </row>
    <row r="3" spans="1:7">
      <c r="A3" t="s">
        <v>145</v>
      </c>
      <c r="B3">
        <v>45</v>
      </c>
    </row>
    <row r="4" spans="1:7">
      <c r="A4" t="s">
        <v>146</v>
      </c>
      <c r="B4">
        <v>9</v>
      </c>
    </row>
    <row r="5" spans="1:7">
      <c r="A5" t="s">
        <v>147</v>
      </c>
      <c r="B5">
        <v>-0.9</v>
      </c>
    </row>
    <row r="6" spans="1:7">
      <c r="A6" t="s">
        <v>148</v>
      </c>
      <c r="B6">
        <f>B4*B3</f>
        <v>405</v>
      </c>
    </row>
    <row r="8" spans="1:7">
      <c r="A8" t="s">
        <v>149</v>
      </c>
      <c r="B8">
        <f>-1*B5*B4/B3</f>
        <v>0.18</v>
      </c>
    </row>
    <row r="9" spans="1:7">
      <c r="A9" t="s">
        <v>150</v>
      </c>
      <c r="B9">
        <f>B4+B8*B3</f>
        <v>17.100000000000001</v>
      </c>
    </row>
    <row r="10" spans="1:7">
      <c r="G10" t="s">
        <v>151</v>
      </c>
    </row>
    <row r="11" spans="1:7">
      <c r="A11" s="1" t="s">
        <v>152</v>
      </c>
      <c r="B11" s="1" t="s">
        <v>153</v>
      </c>
      <c r="C11" s="1" t="s">
        <v>154</v>
      </c>
      <c r="D11" s="1" t="s">
        <v>155</v>
      </c>
      <c r="G11" t="s">
        <v>156</v>
      </c>
    </row>
    <row r="12" spans="1:7">
      <c r="A12">
        <v>1</v>
      </c>
      <c r="B12">
        <f>B3*0.5</f>
        <v>22.5</v>
      </c>
      <c r="C12">
        <f>B9-B8*B12</f>
        <v>13.05</v>
      </c>
      <c r="D12">
        <f t="shared" ref="D12:D27" si="0">B12*C12</f>
        <v>293.625</v>
      </c>
      <c r="G12" t="s">
        <v>157</v>
      </c>
    </row>
    <row r="13" spans="1:7">
      <c r="A13">
        <v>2</v>
      </c>
      <c r="B13">
        <f>B3*0.6</f>
        <v>27</v>
      </c>
      <c r="C13">
        <f>B9-B8*B13</f>
        <v>12.240000000000002</v>
      </c>
      <c r="D13">
        <f t="shared" si="0"/>
        <v>330.48000000000008</v>
      </c>
      <c r="G13" t="s">
        <v>158</v>
      </c>
    </row>
    <row r="14" spans="1:7">
      <c r="A14">
        <v>3</v>
      </c>
      <c r="B14">
        <f>B3*0.7</f>
        <v>31.499999999999996</v>
      </c>
      <c r="C14">
        <f>B9-B8*B14</f>
        <v>11.430000000000003</v>
      </c>
      <c r="D14">
        <f t="shared" si="0"/>
        <v>360.04500000000007</v>
      </c>
      <c r="G14" t="s">
        <v>159</v>
      </c>
    </row>
    <row r="15" spans="1:7">
      <c r="A15">
        <v>4</v>
      </c>
      <c r="B15">
        <f>B3*0.8</f>
        <v>36</v>
      </c>
      <c r="C15">
        <f>B9-B8*B15</f>
        <v>10.620000000000001</v>
      </c>
      <c r="D15">
        <f t="shared" si="0"/>
        <v>382.32000000000005</v>
      </c>
      <c r="G15" t="s">
        <v>160</v>
      </c>
    </row>
    <row r="16" spans="1:7">
      <c r="A16">
        <v>5</v>
      </c>
      <c r="B16">
        <f>B3*0.9</f>
        <v>40.5</v>
      </c>
      <c r="C16">
        <f>B9-B8*B16</f>
        <v>9.8100000000000023</v>
      </c>
      <c r="D16">
        <f t="shared" si="0"/>
        <v>397.30500000000006</v>
      </c>
      <c r="G16" t="s">
        <v>161</v>
      </c>
    </row>
    <row r="17" spans="1:4">
      <c r="A17">
        <v>6</v>
      </c>
      <c r="B17">
        <f>B3*1</f>
        <v>45</v>
      </c>
      <c r="C17">
        <f>B9-B8*B17</f>
        <v>9.0000000000000018</v>
      </c>
      <c r="D17">
        <f t="shared" si="0"/>
        <v>405.00000000000006</v>
      </c>
    </row>
    <row r="18" spans="1:4">
      <c r="A18">
        <v>7</v>
      </c>
      <c r="B18">
        <f>B3*1.1</f>
        <v>49.500000000000007</v>
      </c>
      <c r="C18">
        <f>B9-B8*B18</f>
        <v>8.1900000000000013</v>
      </c>
      <c r="D18">
        <f t="shared" si="0"/>
        <v>405.40500000000014</v>
      </c>
    </row>
    <row r="19" spans="1:4">
      <c r="A19">
        <v>8</v>
      </c>
      <c r="B19">
        <f>B3*1.2</f>
        <v>54</v>
      </c>
      <c r="C19">
        <f>B9-B8*B19</f>
        <v>7.3800000000000026</v>
      </c>
      <c r="D19">
        <f t="shared" si="0"/>
        <v>398.52000000000015</v>
      </c>
    </row>
    <row r="20" spans="1:4">
      <c r="A20">
        <v>9</v>
      </c>
      <c r="B20">
        <f>B3*1.3</f>
        <v>58.5</v>
      </c>
      <c r="C20">
        <f>B9-B8*B20</f>
        <v>6.5700000000000021</v>
      </c>
      <c r="D20">
        <f t="shared" si="0"/>
        <v>384.34500000000014</v>
      </c>
    </row>
    <row r="21" spans="1:4">
      <c r="A21">
        <v>10</v>
      </c>
      <c r="B21">
        <f>B3*1.4</f>
        <v>62.999999999999993</v>
      </c>
      <c r="C21">
        <f>B9-B8*B21</f>
        <v>5.7600000000000033</v>
      </c>
      <c r="D21">
        <f t="shared" si="0"/>
        <v>362.88000000000017</v>
      </c>
    </row>
    <row r="22" spans="1:4">
      <c r="A22">
        <v>11</v>
      </c>
      <c r="B22">
        <f>B3*1.5</f>
        <v>67.5</v>
      </c>
      <c r="C22">
        <f>B9-B8*B22</f>
        <v>4.9500000000000011</v>
      </c>
      <c r="D22">
        <f t="shared" si="0"/>
        <v>334.12500000000006</v>
      </c>
    </row>
    <row r="23" spans="1:4">
      <c r="A23">
        <v>11</v>
      </c>
      <c r="B23">
        <f t="shared" ref="B23:B25" si="1">B4*1.5</f>
        <v>13.5</v>
      </c>
      <c r="C23">
        <f t="shared" ref="C23:C27" si="2">B10-B9*B23</f>
        <v>-230.85000000000002</v>
      </c>
      <c r="D23">
        <f t="shared" si="0"/>
        <v>-3116.4750000000004</v>
      </c>
    </row>
  </sheetData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8C5CE-2112-451D-B28C-D1BB634523EC}">
  <dimension ref="A1:M1360"/>
  <sheetViews>
    <sheetView topLeftCell="E1" workbookViewId="0">
      <selection activeCell="H31" sqref="H31"/>
    </sheetView>
  </sheetViews>
  <sheetFormatPr defaultRowHeight="15"/>
  <cols>
    <col min="1" max="1" width="103.28515625" customWidth="1"/>
    <col min="2" max="2" width="24" customWidth="1"/>
    <col min="3" max="3" width="35.7109375" customWidth="1"/>
    <col min="4" max="4" width="17.7109375" customWidth="1"/>
    <col min="5" max="5" width="19.7109375" customWidth="1"/>
    <col min="6" max="7" width="15.7109375" customWidth="1"/>
    <col min="8" max="8" width="16.28515625" customWidth="1"/>
    <col min="9" max="9" width="18.28515625" customWidth="1"/>
    <col min="10" max="10" width="17.42578125" customWidth="1"/>
    <col min="11" max="12" width="20" customWidth="1"/>
  </cols>
  <sheetData>
    <row r="1" spans="1:13" ht="18.75">
      <c r="A1" s="14" t="s">
        <v>162</v>
      </c>
      <c r="B1" s="14"/>
      <c r="C1" t="s">
        <v>163</v>
      </c>
      <c r="D1" s="15" t="s">
        <v>164</v>
      </c>
      <c r="E1" s="15" t="s">
        <v>165</v>
      </c>
      <c r="F1" s="15" t="s">
        <v>166</v>
      </c>
      <c r="G1" s="15"/>
      <c r="H1" s="15" t="s">
        <v>167</v>
      </c>
      <c r="I1" s="15" t="s">
        <v>168</v>
      </c>
      <c r="J1" s="15" t="s">
        <v>169</v>
      </c>
      <c r="K1" s="15" t="s">
        <v>170</v>
      </c>
      <c r="L1" s="15"/>
      <c r="M1" t="s">
        <v>171</v>
      </c>
    </row>
    <row r="2" spans="1:13" ht="15.75">
      <c r="A2" s="16" t="s">
        <v>172</v>
      </c>
      <c r="B2" s="16"/>
      <c r="D2" s="15"/>
      <c r="E2" s="15"/>
      <c r="F2" s="15"/>
      <c r="G2" s="15"/>
      <c r="H2" s="15"/>
      <c r="I2" s="15"/>
      <c r="J2" s="15"/>
      <c r="K2" s="15"/>
      <c r="L2" s="15"/>
      <c r="M2" t="s">
        <v>173</v>
      </c>
    </row>
    <row r="3" spans="1:13">
      <c r="A3" s="17" t="s">
        <v>174</v>
      </c>
      <c r="B3" s="17"/>
      <c r="C3" s="18">
        <v>40</v>
      </c>
      <c r="D3" s="19">
        <f>C3+20</f>
        <v>60</v>
      </c>
      <c r="E3" s="19" t="s">
        <v>175</v>
      </c>
      <c r="F3" s="20">
        <v>16.2</v>
      </c>
      <c r="G3" s="20"/>
      <c r="H3" s="20">
        <f>(C3-F3)/C3</f>
        <v>0.59499999999999997</v>
      </c>
      <c r="I3" s="20">
        <f>(D3-F3)/D3</f>
        <v>0.73</v>
      </c>
      <c r="J3" s="20">
        <f>C3/F3</f>
        <v>2.4691358024691361</v>
      </c>
      <c r="K3" s="20">
        <f>D3/F3</f>
        <v>3.7037037037037037</v>
      </c>
      <c r="L3" s="20"/>
      <c r="M3" t="s">
        <v>176</v>
      </c>
    </row>
    <row r="4" spans="1:13">
      <c r="A4" s="17" t="s">
        <v>177</v>
      </c>
      <c r="B4" s="17"/>
      <c r="C4" s="18">
        <v>80</v>
      </c>
      <c r="D4" s="19">
        <f>C4+20</f>
        <v>100</v>
      </c>
      <c r="E4" s="19" t="s">
        <v>175</v>
      </c>
      <c r="F4" s="20">
        <v>16.2</v>
      </c>
      <c r="G4" s="20"/>
      <c r="H4" s="20">
        <f t="shared" ref="H4:H67" si="0">(C4-F4)/C4</f>
        <v>0.79749999999999999</v>
      </c>
      <c r="I4" s="20">
        <f>(D4-F4)/D4</f>
        <v>0.83799999999999997</v>
      </c>
      <c r="J4" s="20">
        <f t="shared" ref="J4:J67" si="1">C4/F4</f>
        <v>4.9382716049382722</v>
      </c>
      <c r="K4" s="20">
        <f t="shared" ref="K4:K67" si="2">D4/F4</f>
        <v>6.1728395061728394</v>
      </c>
      <c r="L4" s="20"/>
    </row>
    <row r="5" spans="1:13">
      <c r="A5" s="17" t="s">
        <v>178</v>
      </c>
      <c r="B5" s="17"/>
      <c r="C5" s="18">
        <v>55</v>
      </c>
      <c r="D5" s="19">
        <f>C5+20</f>
        <v>75</v>
      </c>
      <c r="E5" s="19" t="s">
        <v>175</v>
      </c>
      <c r="F5" s="20">
        <v>16.2</v>
      </c>
      <c r="G5" s="20"/>
      <c r="H5" s="20">
        <f t="shared" si="0"/>
        <v>0.70545454545454545</v>
      </c>
      <c r="I5" s="20">
        <f>(D5-F5)/D5</f>
        <v>0.78399999999999992</v>
      </c>
      <c r="J5" s="20">
        <f t="shared" si="1"/>
        <v>3.3950617283950617</v>
      </c>
      <c r="K5" s="20">
        <f t="shared" si="2"/>
        <v>4.6296296296296298</v>
      </c>
      <c r="L5" s="20"/>
      <c r="M5" t="s">
        <v>179</v>
      </c>
    </row>
    <row r="6" spans="1:13" ht="15.75">
      <c r="A6" s="16" t="s">
        <v>180</v>
      </c>
      <c r="B6" s="16"/>
      <c r="C6" s="18"/>
      <c r="D6" s="19"/>
      <c r="E6" s="19"/>
      <c r="F6" s="19"/>
      <c r="G6" s="19"/>
      <c r="H6" s="20" t="e">
        <f t="shared" si="0"/>
        <v>#DIV/0!</v>
      </c>
      <c r="I6" s="20"/>
      <c r="J6" s="20" t="e">
        <f t="shared" si="1"/>
        <v>#DIV/0!</v>
      </c>
      <c r="K6" s="20" t="e">
        <f t="shared" si="2"/>
        <v>#DIV/0!</v>
      </c>
      <c r="L6" s="20"/>
    </row>
    <row r="7" spans="1:13">
      <c r="A7" s="17" t="s">
        <v>181</v>
      </c>
      <c r="B7" s="17"/>
      <c r="C7" s="18">
        <v>70</v>
      </c>
      <c r="D7" s="19">
        <f t="shared" ref="D7:D52" si="3">C7+20</f>
        <v>90</v>
      </c>
      <c r="E7" s="19" t="s">
        <v>182</v>
      </c>
      <c r="F7" s="26">
        <v>22.59</v>
      </c>
      <c r="G7" s="20"/>
      <c r="H7" s="20">
        <f t="shared" si="0"/>
        <v>0.67728571428571427</v>
      </c>
      <c r="I7" s="20">
        <f>(D7-F7)/D7</f>
        <v>0.749</v>
      </c>
      <c r="J7" s="20">
        <f t="shared" si="1"/>
        <v>3.0987162461266049</v>
      </c>
      <c r="K7" s="20">
        <f t="shared" si="2"/>
        <v>3.9840637450199203</v>
      </c>
      <c r="L7" s="20"/>
    </row>
    <row r="8" spans="1:13">
      <c r="A8" s="17" t="s">
        <v>183</v>
      </c>
      <c r="B8" s="17"/>
      <c r="C8" s="18">
        <v>40</v>
      </c>
      <c r="D8" s="19">
        <f t="shared" si="3"/>
        <v>60</v>
      </c>
      <c r="E8" s="19" t="s">
        <v>184</v>
      </c>
      <c r="F8" s="20">
        <v>18.940000000000001</v>
      </c>
      <c r="G8" s="20"/>
      <c r="H8" s="20">
        <f t="shared" si="0"/>
        <v>0.52649999999999997</v>
      </c>
      <c r="I8" s="20">
        <f>(D8-F8)/D8</f>
        <v>0.68433333333333335</v>
      </c>
      <c r="J8" s="20">
        <f t="shared" si="1"/>
        <v>2.1119324181626187</v>
      </c>
      <c r="K8" s="20">
        <f t="shared" si="2"/>
        <v>3.167898627243928</v>
      </c>
      <c r="L8" s="20"/>
    </row>
    <row r="9" spans="1:13">
      <c r="A9" s="17" t="s">
        <v>185</v>
      </c>
      <c r="B9" s="17"/>
      <c r="C9" s="18">
        <v>20</v>
      </c>
      <c r="D9" s="19">
        <f t="shared" si="3"/>
        <v>40</v>
      </c>
      <c r="E9" s="19" t="s">
        <v>186</v>
      </c>
      <c r="F9" s="20">
        <v>17.57</v>
      </c>
      <c r="G9" s="20"/>
      <c r="H9" s="20">
        <f t="shared" si="0"/>
        <v>0.12149999999999998</v>
      </c>
      <c r="I9" s="20">
        <f>(D9-F9)/D9</f>
        <v>0.56074999999999997</v>
      </c>
      <c r="J9" s="20">
        <f t="shared" si="1"/>
        <v>1.1383039271485487</v>
      </c>
      <c r="K9" s="20">
        <f t="shared" si="2"/>
        <v>2.2766078542970973</v>
      </c>
      <c r="L9" s="20"/>
    </row>
    <row r="10" spans="1:13">
      <c r="A10" s="17" t="s">
        <v>187</v>
      </c>
      <c r="B10" s="17"/>
      <c r="C10" s="18">
        <v>10</v>
      </c>
      <c r="D10" s="19">
        <f t="shared" si="3"/>
        <v>30</v>
      </c>
      <c r="E10" s="19" t="s">
        <v>175</v>
      </c>
      <c r="F10" s="20">
        <v>16.2</v>
      </c>
      <c r="G10" s="20"/>
      <c r="H10" s="20">
        <f t="shared" si="0"/>
        <v>-0.61999999999999988</v>
      </c>
      <c r="I10" s="20">
        <f>(D10-F10)/D10</f>
        <v>0.46</v>
      </c>
      <c r="J10" s="20">
        <f t="shared" si="1"/>
        <v>0.61728395061728403</v>
      </c>
      <c r="K10" s="20">
        <f t="shared" si="2"/>
        <v>1.8518518518518519</v>
      </c>
      <c r="L10" s="20"/>
    </row>
    <row r="11" spans="1:13" ht="15.75">
      <c r="A11" s="21" t="s">
        <v>188</v>
      </c>
      <c r="B11" s="21"/>
      <c r="C11" s="18"/>
      <c r="D11" s="19"/>
      <c r="E11" s="19"/>
      <c r="F11" s="19"/>
      <c r="G11" s="19"/>
      <c r="H11" s="20" t="e">
        <f t="shared" si="0"/>
        <v>#DIV/0!</v>
      </c>
      <c r="I11" s="20"/>
      <c r="J11" s="20" t="e">
        <f t="shared" si="1"/>
        <v>#DIV/0!</v>
      </c>
      <c r="K11" s="20" t="e">
        <f t="shared" si="2"/>
        <v>#DIV/0!</v>
      </c>
      <c r="L11" s="20"/>
    </row>
    <row r="12" spans="1:13">
      <c r="A12" s="17" t="s">
        <v>181</v>
      </c>
      <c r="B12" s="17"/>
      <c r="C12" s="18">
        <v>70</v>
      </c>
      <c r="D12" s="19">
        <f t="shared" si="3"/>
        <v>90</v>
      </c>
      <c r="E12" s="19" t="s">
        <v>189</v>
      </c>
      <c r="F12" s="20">
        <v>16.2</v>
      </c>
      <c r="G12" s="20"/>
      <c r="H12" s="20">
        <f t="shared" si="0"/>
        <v>0.76857142857142857</v>
      </c>
      <c r="I12" s="20">
        <f>(D12-F12)/D12</f>
        <v>0.82</v>
      </c>
      <c r="J12" s="20">
        <f t="shared" si="1"/>
        <v>4.3209876543209882</v>
      </c>
      <c r="K12" s="20">
        <f t="shared" si="2"/>
        <v>5.5555555555555554</v>
      </c>
      <c r="L12" s="20"/>
    </row>
    <row r="13" spans="1:13">
      <c r="A13" s="17" t="s">
        <v>187</v>
      </c>
      <c r="B13" s="17"/>
      <c r="C13" s="18">
        <v>25</v>
      </c>
      <c r="D13" s="19">
        <f t="shared" si="3"/>
        <v>45</v>
      </c>
      <c r="E13" s="19" t="s">
        <v>189</v>
      </c>
      <c r="F13" s="20">
        <v>16.2</v>
      </c>
      <c r="G13" s="20"/>
      <c r="H13" s="20">
        <f t="shared" si="0"/>
        <v>0.35200000000000004</v>
      </c>
      <c r="I13" s="20">
        <f>(D13-F13)/D13</f>
        <v>0.64</v>
      </c>
      <c r="J13" s="20">
        <f t="shared" si="1"/>
        <v>1.5432098765432098</v>
      </c>
      <c r="K13" s="20">
        <f t="shared" si="2"/>
        <v>2.7777777777777777</v>
      </c>
      <c r="L13" s="20"/>
    </row>
    <row r="14" spans="1:13">
      <c r="A14" s="17" t="s">
        <v>190</v>
      </c>
      <c r="B14" s="17"/>
      <c r="C14" s="18">
        <v>80</v>
      </c>
      <c r="D14" s="19">
        <f t="shared" si="3"/>
        <v>100</v>
      </c>
      <c r="E14" s="19" t="s">
        <v>191</v>
      </c>
      <c r="F14" s="20">
        <v>17.61</v>
      </c>
      <c r="G14" s="20"/>
      <c r="H14" s="20">
        <f t="shared" si="0"/>
        <v>0.77987499999999998</v>
      </c>
      <c r="I14" s="20">
        <f>(D14-F14)/D14</f>
        <v>0.82389999999999997</v>
      </c>
      <c r="J14" s="20">
        <f t="shared" si="1"/>
        <v>4.5428733674048836</v>
      </c>
      <c r="K14" s="20">
        <f t="shared" si="2"/>
        <v>5.6785917092561045</v>
      </c>
      <c r="L14" s="20"/>
    </row>
    <row r="15" spans="1:13">
      <c r="A15" s="17" t="s">
        <v>192</v>
      </c>
      <c r="B15" s="17"/>
      <c r="C15" s="18">
        <v>45</v>
      </c>
      <c r="D15" s="19">
        <f t="shared" si="3"/>
        <v>65</v>
      </c>
      <c r="E15" s="19" t="s">
        <v>193</v>
      </c>
      <c r="F15" s="20">
        <v>16.2</v>
      </c>
      <c r="G15" s="20"/>
      <c r="H15" s="20">
        <f t="shared" si="0"/>
        <v>0.64</v>
      </c>
      <c r="I15" s="20">
        <f>(D15-F15)/D15</f>
        <v>0.75076923076923074</v>
      </c>
      <c r="J15" s="20">
        <f t="shared" si="1"/>
        <v>2.7777777777777777</v>
      </c>
      <c r="K15" s="20">
        <f t="shared" si="2"/>
        <v>4.0123456790123457</v>
      </c>
      <c r="L15" s="20"/>
    </row>
    <row r="16" spans="1:13">
      <c r="A16" s="17" t="s">
        <v>194</v>
      </c>
      <c r="B16" s="17"/>
      <c r="C16" s="18">
        <v>45</v>
      </c>
      <c r="D16" s="19">
        <f t="shared" si="3"/>
        <v>65</v>
      </c>
      <c r="E16" s="19" t="s">
        <v>193</v>
      </c>
      <c r="F16" s="20">
        <v>16.2</v>
      </c>
      <c r="G16" s="20"/>
      <c r="H16" s="20">
        <f t="shared" si="0"/>
        <v>0.64</v>
      </c>
      <c r="I16" s="20">
        <f>(D16-F16)/D16</f>
        <v>0.75076923076923074</v>
      </c>
      <c r="J16" s="20">
        <f t="shared" si="1"/>
        <v>2.7777777777777777</v>
      </c>
      <c r="K16" s="20">
        <f t="shared" si="2"/>
        <v>4.0123456790123457</v>
      </c>
      <c r="L16" s="20"/>
    </row>
    <row r="17" spans="1:12">
      <c r="A17" s="17" t="s">
        <v>195</v>
      </c>
      <c r="B17" s="17"/>
      <c r="C17" s="18">
        <v>25</v>
      </c>
      <c r="D17" s="19">
        <f t="shared" si="3"/>
        <v>45</v>
      </c>
      <c r="E17" s="19" t="s">
        <v>193</v>
      </c>
      <c r="F17" s="20">
        <v>16.2</v>
      </c>
      <c r="G17" s="20"/>
      <c r="H17" s="20">
        <f t="shared" si="0"/>
        <v>0.35200000000000004</v>
      </c>
      <c r="I17" s="20">
        <f>(D17-F17)/D17</f>
        <v>0.64</v>
      </c>
      <c r="J17" s="20">
        <f t="shared" si="1"/>
        <v>1.5432098765432098</v>
      </c>
      <c r="K17" s="20">
        <f t="shared" si="2"/>
        <v>2.7777777777777777</v>
      </c>
      <c r="L17" s="20"/>
    </row>
    <row r="18" spans="1:12">
      <c r="A18" s="17" t="s">
        <v>196</v>
      </c>
      <c r="B18" s="17"/>
      <c r="C18" s="18">
        <v>20</v>
      </c>
      <c r="D18" s="19">
        <f t="shared" si="3"/>
        <v>40</v>
      </c>
      <c r="E18" s="19" t="s">
        <v>193</v>
      </c>
      <c r="F18" s="20">
        <v>16.2</v>
      </c>
      <c r="G18" s="20"/>
      <c r="H18" s="20">
        <f t="shared" si="0"/>
        <v>0.19000000000000003</v>
      </c>
      <c r="I18" s="20">
        <f>(D18-F18)/D18</f>
        <v>0.59499999999999997</v>
      </c>
      <c r="J18" s="20">
        <f t="shared" si="1"/>
        <v>1.2345679012345681</v>
      </c>
      <c r="K18" s="20">
        <f t="shared" si="2"/>
        <v>2.4691358024691361</v>
      </c>
      <c r="L18" s="20"/>
    </row>
    <row r="19" spans="1:12" ht="15.75">
      <c r="A19" s="21" t="s">
        <v>197</v>
      </c>
      <c r="B19" s="21"/>
      <c r="C19" s="18"/>
      <c r="D19" s="19"/>
      <c r="E19" s="19"/>
      <c r="F19" s="19"/>
      <c r="G19" s="19"/>
      <c r="H19" s="20" t="e">
        <f t="shared" si="0"/>
        <v>#DIV/0!</v>
      </c>
      <c r="I19" s="20"/>
      <c r="J19" s="20" t="e">
        <f t="shared" si="1"/>
        <v>#DIV/0!</v>
      </c>
      <c r="K19" s="20" t="e">
        <f t="shared" si="2"/>
        <v>#DIV/0!</v>
      </c>
      <c r="L19" s="20"/>
    </row>
    <row r="20" spans="1:12">
      <c r="A20" s="17" t="s">
        <v>181</v>
      </c>
      <c r="B20" s="17"/>
      <c r="C20" s="18">
        <v>60</v>
      </c>
      <c r="D20" s="19">
        <f t="shared" si="3"/>
        <v>80</v>
      </c>
      <c r="E20" s="19" t="s">
        <v>198</v>
      </c>
      <c r="F20" s="20">
        <v>18.29</v>
      </c>
      <c r="G20" s="20"/>
      <c r="H20" s="20">
        <f t="shared" si="0"/>
        <v>0.69516666666666671</v>
      </c>
      <c r="I20" s="20">
        <f>(D20-F20)/D20</f>
        <v>0.77137500000000003</v>
      </c>
      <c r="J20" s="20">
        <f t="shared" si="1"/>
        <v>3.280481137233461</v>
      </c>
      <c r="K20" s="20">
        <f t="shared" si="2"/>
        <v>4.3739748496446147</v>
      </c>
      <c r="L20" s="20"/>
    </row>
    <row r="21" spans="1:12">
      <c r="A21" s="17" t="s">
        <v>199</v>
      </c>
      <c r="B21" s="17"/>
      <c r="C21" s="18">
        <v>55</v>
      </c>
      <c r="D21" s="19">
        <f t="shared" si="3"/>
        <v>75</v>
      </c>
      <c r="E21" s="19" t="s">
        <v>200</v>
      </c>
      <c r="F21" s="20">
        <v>24.05</v>
      </c>
      <c r="G21" s="20"/>
      <c r="H21" s="20">
        <f t="shared" si="0"/>
        <v>0.56272727272727274</v>
      </c>
      <c r="I21" s="20">
        <f>(D21-F21)/D21</f>
        <v>0.67933333333333334</v>
      </c>
      <c r="J21" s="20">
        <f t="shared" si="1"/>
        <v>2.2869022869022868</v>
      </c>
      <c r="K21" s="20">
        <f t="shared" si="2"/>
        <v>3.1185031185031185</v>
      </c>
      <c r="L21" s="20"/>
    </row>
    <row r="22" spans="1:12">
      <c r="A22" s="17" t="s">
        <v>201</v>
      </c>
      <c r="B22" s="17"/>
      <c r="C22" s="18">
        <v>105</v>
      </c>
      <c r="D22" s="19">
        <f t="shared" si="3"/>
        <v>125</v>
      </c>
      <c r="E22" s="19" t="s">
        <v>202</v>
      </c>
      <c r="F22" s="20">
        <v>24.05</v>
      </c>
      <c r="G22" s="20"/>
      <c r="H22" s="20">
        <f t="shared" si="0"/>
        <v>0.77095238095238094</v>
      </c>
      <c r="I22" s="20">
        <f>(D22-F22)/D22</f>
        <v>0.80759999999999998</v>
      </c>
      <c r="J22" s="20">
        <f t="shared" si="1"/>
        <v>4.3659043659043659</v>
      </c>
      <c r="K22" s="20">
        <f t="shared" si="2"/>
        <v>5.1975051975051976</v>
      </c>
      <c r="L22" s="20"/>
    </row>
    <row r="23" spans="1:12">
      <c r="A23" s="17" t="s">
        <v>203</v>
      </c>
      <c r="B23" s="17"/>
      <c r="C23" s="18">
        <v>55</v>
      </c>
      <c r="D23" s="19">
        <f t="shared" si="3"/>
        <v>75</v>
      </c>
      <c r="E23" s="19" t="s">
        <v>202</v>
      </c>
      <c r="F23" s="20">
        <v>24.05</v>
      </c>
      <c r="G23" s="20"/>
      <c r="H23" s="20">
        <f t="shared" si="0"/>
        <v>0.56272727272727274</v>
      </c>
      <c r="I23" s="20">
        <f>(D23-F23)/D23</f>
        <v>0.67933333333333334</v>
      </c>
      <c r="J23" s="20">
        <f t="shared" si="1"/>
        <v>2.2869022869022868</v>
      </c>
      <c r="K23" s="20">
        <f t="shared" si="2"/>
        <v>3.1185031185031185</v>
      </c>
      <c r="L23" s="20"/>
    </row>
    <row r="24" spans="1:12">
      <c r="A24" s="17" t="s">
        <v>204</v>
      </c>
      <c r="B24" s="17"/>
      <c r="C24" s="18">
        <v>25</v>
      </c>
      <c r="D24" s="19">
        <f t="shared" si="3"/>
        <v>45</v>
      </c>
      <c r="E24" s="19" t="s">
        <v>193</v>
      </c>
      <c r="F24" s="20">
        <v>16.2</v>
      </c>
      <c r="G24" s="20"/>
      <c r="H24" s="20">
        <f t="shared" si="0"/>
        <v>0.35200000000000004</v>
      </c>
      <c r="I24" s="20">
        <f>(D24-F24)/D24</f>
        <v>0.64</v>
      </c>
      <c r="J24" s="20">
        <f t="shared" si="1"/>
        <v>1.5432098765432098</v>
      </c>
      <c r="K24" s="20">
        <f t="shared" si="2"/>
        <v>2.7777777777777777</v>
      </c>
      <c r="L24" s="20"/>
    </row>
    <row r="25" spans="1:12">
      <c r="A25" s="17" t="s">
        <v>205</v>
      </c>
      <c r="B25" s="17"/>
      <c r="C25" s="22" t="s">
        <v>206</v>
      </c>
      <c r="D25" s="23" t="s">
        <v>207</v>
      </c>
      <c r="E25" s="19" t="s">
        <v>193</v>
      </c>
      <c r="F25" s="20">
        <v>16.2</v>
      </c>
      <c r="G25" s="20"/>
      <c r="H25" s="20" t="e">
        <f t="shared" si="0"/>
        <v>#VALUE!</v>
      </c>
      <c r="I25" s="20"/>
      <c r="J25" s="20" t="e">
        <f t="shared" si="1"/>
        <v>#VALUE!</v>
      </c>
      <c r="K25" s="20" t="e">
        <f t="shared" si="2"/>
        <v>#VALUE!</v>
      </c>
      <c r="L25" s="20"/>
    </row>
    <row r="26" spans="1:12">
      <c r="A26" s="17" t="s">
        <v>208</v>
      </c>
      <c r="B26" s="17"/>
      <c r="C26" s="18">
        <v>30</v>
      </c>
      <c r="D26" s="19">
        <f t="shared" si="3"/>
        <v>50</v>
      </c>
      <c r="E26" s="19" t="s">
        <v>209</v>
      </c>
      <c r="F26" s="20">
        <v>16.72</v>
      </c>
      <c r="G26" s="20"/>
      <c r="H26" s="20">
        <f t="shared" si="0"/>
        <v>0.44266666666666671</v>
      </c>
      <c r="I26" s="20">
        <f>(D26-F26)/D26</f>
        <v>0.66559999999999997</v>
      </c>
      <c r="J26" s="20">
        <f t="shared" si="1"/>
        <v>1.7942583732057418</v>
      </c>
      <c r="K26" s="20">
        <f t="shared" si="2"/>
        <v>2.9904306220095696</v>
      </c>
      <c r="L26" s="20"/>
    </row>
    <row r="27" spans="1:12">
      <c r="A27" s="17" t="s">
        <v>210</v>
      </c>
      <c r="B27" s="17"/>
      <c r="C27" s="18">
        <v>20</v>
      </c>
      <c r="D27" s="19">
        <f t="shared" si="3"/>
        <v>40</v>
      </c>
      <c r="E27" s="19" t="s">
        <v>193</v>
      </c>
      <c r="F27" s="20">
        <v>16.2</v>
      </c>
      <c r="G27" s="20"/>
      <c r="H27" s="20">
        <f t="shared" si="0"/>
        <v>0.19000000000000003</v>
      </c>
      <c r="I27" s="20">
        <f>(D27-F27)/D27</f>
        <v>0.59499999999999997</v>
      </c>
      <c r="J27" s="20">
        <f t="shared" si="1"/>
        <v>1.2345679012345681</v>
      </c>
      <c r="K27" s="20">
        <f t="shared" si="2"/>
        <v>2.4691358024691361</v>
      </c>
      <c r="L27" s="20"/>
    </row>
    <row r="28" spans="1:12">
      <c r="A28" s="17" t="s">
        <v>187</v>
      </c>
      <c r="B28" s="17"/>
      <c r="C28" s="18">
        <v>15</v>
      </c>
      <c r="D28" s="19">
        <f t="shared" si="3"/>
        <v>35</v>
      </c>
      <c r="E28" s="19" t="s">
        <v>193</v>
      </c>
      <c r="F28" s="20">
        <v>16.2</v>
      </c>
      <c r="G28" s="20"/>
      <c r="H28" s="20">
        <f t="shared" si="0"/>
        <v>-7.9999999999999946E-2</v>
      </c>
      <c r="I28" s="20">
        <f>(D28-F28)/D28</f>
        <v>0.53714285714285714</v>
      </c>
      <c r="J28" s="20">
        <f t="shared" si="1"/>
        <v>0.92592592592592593</v>
      </c>
      <c r="K28" s="20">
        <f t="shared" si="2"/>
        <v>2.1604938271604941</v>
      </c>
      <c r="L28" s="20"/>
    </row>
    <row r="29" spans="1:12" ht="15.75">
      <c r="A29" s="16" t="s">
        <v>211</v>
      </c>
      <c r="B29" s="16"/>
      <c r="C29" s="18"/>
      <c r="D29" s="19"/>
      <c r="E29" s="19"/>
      <c r="F29" s="19"/>
      <c r="G29" s="19"/>
      <c r="H29" s="20" t="e">
        <f t="shared" si="0"/>
        <v>#DIV/0!</v>
      </c>
      <c r="I29" s="20"/>
      <c r="J29" s="20" t="e">
        <f t="shared" si="1"/>
        <v>#DIV/0!</v>
      </c>
      <c r="K29" s="20" t="e">
        <f t="shared" si="2"/>
        <v>#DIV/0!</v>
      </c>
      <c r="L29" s="20"/>
    </row>
    <row r="30" spans="1:12">
      <c r="A30" s="17" t="s">
        <v>212</v>
      </c>
      <c r="B30" s="17"/>
      <c r="C30" s="18">
        <v>70</v>
      </c>
      <c r="D30" s="19">
        <f t="shared" si="3"/>
        <v>90</v>
      </c>
      <c r="E30" s="19" t="s">
        <v>213</v>
      </c>
      <c r="F30" s="20">
        <v>19.600000000000001</v>
      </c>
      <c r="G30" s="20"/>
      <c r="H30" s="20">
        <f t="shared" si="0"/>
        <v>0.72</v>
      </c>
      <c r="I30" s="20">
        <f>(D30-F30)/D30</f>
        <v>0.78222222222222226</v>
      </c>
      <c r="J30" s="20">
        <f t="shared" si="1"/>
        <v>3.5714285714285712</v>
      </c>
      <c r="K30" s="20">
        <f t="shared" si="2"/>
        <v>4.5918367346938771</v>
      </c>
      <c r="L30" s="20"/>
    </row>
    <row r="31" spans="1:12">
      <c r="A31" s="17" t="s">
        <v>214</v>
      </c>
      <c r="B31" s="17"/>
      <c r="C31" s="18">
        <v>40</v>
      </c>
      <c r="D31" s="19">
        <f t="shared" si="3"/>
        <v>60</v>
      </c>
      <c r="E31" s="19" t="s">
        <v>213</v>
      </c>
      <c r="F31" s="20">
        <v>19.600000000000001</v>
      </c>
      <c r="G31" s="20"/>
      <c r="H31" s="20">
        <f t="shared" si="0"/>
        <v>0.51</v>
      </c>
      <c r="I31" s="20">
        <f>(D31-F31)/D31</f>
        <v>0.67333333333333334</v>
      </c>
      <c r="J31" s="20">
        <f t="shared" si="1"/>
        <v>2.0408163265306123</v>
      </c>
      <c r="K31" s="20">
        <f t="shared" si="2"/>
        <v>3.0612244897959182</v>
      </c>
      <c r="L31" s="20"/>
    </row>
    <row r="32" spans="1:12">
      <c r="A32" s="17" t="s">
        <v>215</v>
      </c>
      <c r="B32" s="17"/>
      <c r="C32" s="18">
        <v>45</v>
      </c>
      <c r="D32" s="19">
        <f t="shared" si="3"/>
        <v>65</v>
      </c>
      <c r="E32" s="19" t="s">
        <v>216</v>
      </c>
      <c r="F32" s="20">
        <v>18.47</v>
      </c>
      <c r="G32" s="20"/>
      <c r="H32" s="20">
        <f t="shared" si="0"/>
        <v>0.58955555555555561</v>
      </c>
      <c r="I32" s="20">
        <f>(D32-F32)/D32</f>
        <v>0.71584615384615391</v>
      </c>
      <c r="J32" s="20">
        <f t="shared" si="1"/>
        <v>2.4363833243096917</v>
      </c>
      <c r="K32" s="20">
        <f t="shared" si="2"/>
        <v>3.5192203573362213</v>
      </c>
      <c r="L32" s="20"/>
    </row>
    <row r="33" spans="1:12">
      <c r="A33" s="17" t="s">
        <v>187</v>
      </c>
      <c r="B33" s="17"/>
      <c r="C33" s="18">
        <v>20</v>
      </c>
      <c r="D33" s="19">
        <f t="shared" si="3"/>
        <v>40</v>
      </c>
      <c r="E33" s="19"/>
      <c r="F33" s="19"/>
      <c r="G33" s="19"/>
      <c r="H33" s="20">
        <f t="shared" si="0"/>
        <v>1</v>
      </c>
      <c r="I33" s="20">
        <f>(D33-F33)/D33</f>
        <v>1</v>
      </c>
      <c r="J33" s="20" t="e">
        <f t="shared" si="1"/>
        <v>#DIV/0!</v>
      </c>
      <c r="K33" s="20" t="e">
        <f t="shared" si="2"/>
        <v>#DIV/0!</v>
      </c>
      <c r="L33" s="20"/>
    </row>
    <row r="34" spans="1:12">
      <c r="A34" s="17" t="s">
        <v>217</v>
      </c>
      <c r="B34" s="17"/>
      <c r="C34" s="18">
        <v>40</v>
      </c>
      <c r="D34" s="19">
        <f t="shared" si="3"/>
        <v>60</v>
      </c>
      <c r="E34" s="19" t="s">
        <v>218</v>
      </c>
      <c r="F34" s="20">
        <v>17.899999999999999</v>
      </c>
      <c r="G34" s="20"/>
      <c r="H34" s="20">
        <f t="shared" si="0"/>
        <v>0.55249999999999999</v>
      </c>
      <c r="I34" s="20">
        <f>(D34-F34)/D34</f>
        <v>0.70166666666666666</v>
      </c>
      <c r="J34" s="20">
        <f t="shared" si="1"/>
        <v>2.2346368715083802</v>
      </c>
      <c r="K34" s="20">
        <f t="shared" si="2"/>
        <v>3.3519553072625703</v>
      </c>
      <c r="L34" s="20"/>
    </row>
    <row r="35" spans="1:12">
      <c r="A35" s="17" t="s">
        <v>219</v>
      </c>
      <c r="B35" s="17"/>
      <c r="C35" s="18">
        <v>25</v>
      </c>
      <c r="D35" s="19">
        <f t="shared" si="3"/>
        <v>45</v>
      </c>
      <c r="E35" s="19" t="s">
        <v>216</v>
      </c>
      <c r="F35" s="20">
        <v>18.47</v>
      </c>
      <c r="G35" s="20"/>
      <c r="H35" s="20">
        <f t="shared" si="0"/>
        <v>0.26120000000000004</v>
      </c>
      <c r="I35" s="20">
        <f>(D35-F35)/D35</f>
        <v>0.58955555555555561</v>
      </c>
      <c r="J35" s="20">
        <f t="shared" si="1"/>
        <v>1.353546291283162</v>
      </c>
      <c r="K35" s="20">
        <f t="shared" si="2"/>
        <v>2.4363833243096917</v>
      </c>
      <c r="L35" s="20"/>
    </row>
    <row r="36" spans="1:12">
      <c r="A36" s="17" t="s">
        <v>220</v>
      </c>
      <c r="B36" s="17"/>
      <c r="C36" s="18">
        <v>25</v>
      </c>
      <c r="D36" s="19">
        <f t="shared" si="3"/>
        <v>45</v>
      </c>
      <c r="E36" s="19" t="s">
        <v>221</v>
      </c>
      <c r="F36" s="20">
        <v>17.329999999999998</v>
      </c>
      <c r="G36" s="20"/>
      <c r="H36" s="20">
        <f t="shared" si="0"/>
        <v>0.30680000000000007</v>
      </c>
      <c r="I36" s="20">
        <f>(D36-F36)/D36</f>
        <v>0.61488888888888893</v>
      </c>
      <c r="J36" s="20">
        <f t="shared" si="1"/>
        <v>1.4425851125216389</v>
      </c>
      <c r="K36" s="20">
        <f t="shared" si="2"/>
        <v>2.5966532025389499</v>
      </c>
      <c r="L36" s="20"/>
    </row>
    <row r="37" spans="1:12">
      <c r="A37" s="17" t="s">
        <v>222</v>
      </c>
      <c r="B37" s="17"/>
      <c r="C37" s="18">
        <v>35</v>
      </c>
      <c r="D37" s="19">
        <f t="shared" si="3"/>
        <v>55</v>
      </c>
      <c r="E37" s="19" t="s">
        <v>221</v>
      </c>
      <c r="F37" s="20">
        <v>17.329999999999998</v>
      </c>
      <c r="G37" s="20"/>
      <c r="H37" s="20">
        <f t="shared" si="0"/>
        <v>0.50485714285714289</v>
      </c>
      <c r="I37" s="20">
        <f>(D37-F37)/D37</f>
        <v>0.68490909090909091</v>
      </c>
      <c r="J37" s="20">
        <f t="shared" si="1"/>
        <v>2.0196191575302946</v>
      </c>
      <c r="K37" s="20">
        <f t="shared" si="2"/>
        <v>3.1736872475476057</v>
      </c>
      <c r="L37" s="20"/>
    </row>
    <row r="38" spans="1:12" ht="15.75">
      <c r="A38" s="21" t="s">
        <v>223</v>
      </c>
      <c r="B38" s="21"/>
      <c r="C38" s="18"/>
      <c r="D38" s="19"/>
      <c r="E38" s="19"/>
      <c r="F38" s="19"/>
      <c r="G38" s="19"/>
      <c r="H38" s="20" t="e">
        <f t="shared" si="0"/>
        <v>#DIV/0!</v>
      </c>
      <c r="I38" s="20"/>
      <c r="J38" s="20" t="e">
        <f t="shared" si="1"/>
        <v>#DIV/0!</v>
      </c>
      <c r="K38" s="20" t="e">
        <f t="shared" si="2"/>
        <v>#DIV/0!</v>
      </c>
      <c r="L38" s="20"/>
    </row>
    <row r="39" spans="1:12">
      <c r="A39" s="17" t="s">
        <v>181</v>
      </c>
      <c r="B39" s="17"/>
      <c r="C39" s="18">
        <v>70</v>
      </c>
      <c r="D39" s="19">
        <f t="shared" si="3"/>
        <v>90</v>
      </c>
      <c r="E39" s="19" t="s">
        <v>224</v>
      </c>
      <c r="F39" s="20">
        <v>19.440000000000001</v>
      </c>
      <c r="G39" s="20"/>
      <c r="H39" s="20">
        <f t="shared" si="0"/>
        <v>0.72228571428571431</v>
      </c>
      <c r="I39" s="20">
        <f>(D39-F39)/D39</f>
        <v>0.78400000000000003</v>
      </c>
      <c r="J39" s="20">
        <f t="shared" si="1"/>
        <v>3.6008230452674894</v>
      </c>
      <c r="K39" s="20">
        <f t="shared" si="2"/>
        <v>4.6296296296296298</v>
      </c>
      <c r="L39" s="20"/>
    </row>
    <row r="40" spans="1:12">
      <c r="A40" s="17" t="s">
        <v>225</v>
      </c>
      <c r="B40" s="17"/>
      <c r="C40" s="18">
        <v>150</v>
      </c>
      <c r="D40" s="19">
        <f t="shared" si="3"/>
        <v>170</v>
      </c>
      <c r="E40" s="19"/>
      <c r="F40" s="20">
        <v>16.2</v>
      </c>
      <c r="G40" s="20"/>
      <c r="H40" s="20">
        <f t="shared" si="0"/>
        <v>0.89200000000000013</v>
      </c>
      <c r="I40" s="20">
        <f>(D40-F40)/D40</f>
        <v>0.90470588235294125</v>
      </c>
      <c r="J40" s="20">
        <f t="shared" si="1"/>
        <v>9.2592592592592595</v>
      </c>
      <c r="K40" s="20">
        <f t="shared" si="2"/>
        <v>10.493827160493828</v>
      </c>
      <c r="L40" s="20"/>
    </row>
    <row r="41" spans="1:12">
      <c r="A41" s="17" t="s">
        <v>226</v>
      </c>
      <c r="B41" s="17"/>
      <c r="C41" s="18">
        <v>80</v>
      </c>
      <c r="D41" s="19">
        <f t="shared" si="3"/>
        <v>100</v>
      </c>
      <c r="E41" s="19"/>
      <c r="F41" s="20">
        <v>16.2</v>
      </c>
      <c r="G41" s="20"/>
      <c r="H41" s="20">
        <f t="shared" si="0"/>
        <v>0.79749999999999999</v>
      </c>
      <c r="I41" s="20">
        <f>(D41-F41)/D41</f>
        <v>0.83799999999999997</v>
      </c>
      <c r="J41" s="20">
        <f t="shared" si="1"/>
        <v>4.9382716049382722</v>
      </c>
      <c r="K41" s="20">
        <f t="shared" si="2"/>
        <v>6.1728395061728394</v>
      </c>
      <c r="L41" s="20"/>
    </row>
    <row r="42" spans="1:12">
      <c r="A42" s="17" t="s">
        <v>227</v>
      </c>
      <c r="B42" s="17"/>
      <c r="C42" s="18">
        <v>25</v>
      </c>
      <c r="D42" s="19">
        <f t="shared" si="3"/>
        <v>45</v>
      </c>
      <c r="E42" s="19"/>
      <c r="F42" s="20">
        <v>16.2</v>
      </c>
      <c r="G42" s="20"/>
      <c r="H42" s="20">
        <f t="shared" si="0"/>
        <v>0.35200000000000004</v>
      </c>
      <c r="I42" s="20">
        <f>(D42-F42)/D42</f>
        <v>0.64</v>
      </c>
      <c r="J42" s="20">
        <f t="shared" si="1"/>
        <v>1.5432098765432098</v>
      </c>
      <c r="K42" s="20">
        <f t="shared" si="2"/>
        <v>2.7777777777777777</v>
      </c>
      <c r="L42" s="20"/>
    </row>
    <row r="43" spans="1:12">
      <c r="A43" s="17" t="s">
        <v>194</v>
      </c>
      <c r="B43" s="17"/>
      <c r="C43" s="18">
        <v>45</v>
      </c>
      <c r="D43" s="19">
        <f t="shared" si="3"/>
        <v>65</v>
      </c>
      <c r="E43" s="19"/>
      <c r="F43" s="20">
        <v>16.2</v>
      </c>
      <c r="G43" s="20"/>
      <c r="H43" s="20">
        <f t="shared" si="0"/>
        <v>0.64</v>
      </c>
      <c r="I43" s="20">
        <f>(D43-F43)/D43</f>
        <v>0.75076923076923074</v>
      </c>
      <c r="J43" s="20">
        <f t="shared" si="1"/>
        <v>2.7777777777777777</v>
      </c>
      <c r="K43" s="20">
        <f t="shared" si="2"/>
        <v>4.0123456790123457</v>
      </c>
      <c r="L43" s="20"/>
    </row>
    <row r="44" spans="1:12">
      <c r="A44" s="17" t="s">
        <v>228</v>
      </c>
      <c r="B44" s="17"/>
      <c r="C44" s="18">
        <v>50</v>
      </c>
      <c r="D44" s="19">
        <f t="shared" si="3"/>
        <v>70</v>
      </c>
      <c r="E44" s="19" t="s">
        <v>229</v>
      </c>
      <c r="F44" s="20">
        <v>17.38</v>
      </c>
      <c r="G44" s="20"/>
      <c r="H44" s="20">
        <f t="shared" si="0"/>
        <v>0.65240000000000009</v>
      </c>
      <c r="I44" s="20">
        <f>(D44-F44)/D44</f>
        <v>0.75171428571428578</v>
      </c>
      <c r="J44" s="20">
        <f t="shared" si="1"/>
        <v>2.8768699654775607</v>
      </c>
      <c r="K44" s="20">
        <f t="shared" si="2"/>
        <v>4.0276179516685851</v>
      </c>
      <c r="L44" s="20"/>
    </row>
    <row r="45" spans="1:12">
      <c r="A45" s="17" t="s">
        <v>230</v>
      </c>
      <c r="B45" s="17"/>
      <c r="C45" s="18">
        <v>25</v>
      </c>
      <c r="D45" s="19">
        <f t="shared" si="3"/>
        <v>45</v>
      </c>
      <c r="E45" s="19"/>
      <c r="F45" s="20">
        <v>16.2</v>
      </c>
      <c r="G45" s="20"/>
      <c r="H45" s="20">
        <f t="shared" si="0"/>
        <v>0.35200000000000004</v>
      </c>
      <c r="I45" s="20">
        <f>(D45-F45)/D45</f>
        <v>0.64</v>
      </c>
      <c r="J45" s="20">
        <f t="shared" si="1"/>
        <v>1.5432098765432098</v>
      </c>
      <c r="K45" s="20">
        <f t="shared" si="2"/>
        <v>2.7777777777777777</v>
      </c>
      <c r="L45" s="20"/>
    </row>
    <row r="46" spans="1:12">
      <c r="A46" s="17" t="s">
        <v>231</v>
      </c>
      <c r="B46" s="17"/>
      <c r="C46" s="18">
        <v>40</v>
      </c>
      <c r="D46" s="19">
        <f t="shared" si="3"/>
        <v>60</v>
      </c>
      <c r="E46" s="19"/>
      <c r="F46" s="20">
        <v>16.2</v>
      </c>
      <c r="G46" s="20"/>
      <c r="H46" s="20">
        <f t="shared" si="0"/>
        <v>0.59499999999999997</v>
      </c>
      <c r="I46" s="20">
        <f>(D46-F46)/D46</f>
        <v>0.73</v>
      </c>
      <c r="J46" s="20">
        <f t="shared" si="1"/>
        <v>2.4691358024691361</v>
      </c>
      <c r="K46" s="20">
        <f t="shared" si="2"/>
        <v>3.7037037037037037</v>
      </c>
      <c r="L46" s="20"/>
    </row>
    <row r="47" spans="1:12">
      <c r="A47" s="17" t="s">
        <v>232</v>
      </c>
      <c r="B47" s="17"/>
      <c r="C47" s="18">
        <v>45</v>
      </c>
      <c r="D47" s="19">
        <f t="shared" si="3"/>
        <v>65</v>
      </c>
      <c r="E47" s="19"/>
      <c r="F47" s="20">
        <v>16.2</v>
      </c>
      <c r="G47" s="20"/>
      <c r="H47" s="20">
        <f t="shared" si="0"/>
        <v>0.64</v>
      </c>
      <c r="I47" s="20">
        <f>(D47-F47)/D47</f>
        <v>0.75076923076923074</v>
      </c>
      <c r="J47" s="20">
        <f t="shared" si="1"/>
        <v>2.7777777777777777</v>
      </c>
      <c r="K47" s="20">
        <f t="shared" si="2"/>
        <v>4.0123456790123457</v>
      </c>
      <c r="L47" s="20"/>
    </row>
    <row r="48" spans="1:12">
      <c r="A48" s="17" t="s">
        <v>233</v>
      </c>
      <c r="B48" s="17"/>
      <c r="C48" s="18">
        <v>30</v>
      </c>
      <c r="D48" s="19">
        <f t="shared" si="3"/>
        <v>50</v>
      </c>
      <c r="E48" s="19"/>
      <c r="F48" s="20">
        <v>16.2</v>
      </c>
      <c r="G48" s="20"/>
      <c r="H48" s="20">
        <f t="shared" si="0"/>
        <v>0.46</v>
      </c>
      <c r="I48" s="20">
        <f>(D48-F48)/D48</f>
        <v>0.67599999999999993</v>
      </c>
      <c r="J48" s="20">
        <f t="shared" si="1"/>
        <v>1.8518518518518519</v>
      </c>
      <c r="K48" s="20">
        <f t="shared" si="2"/>
        <v>3.0864197530864197</v>
      </c>
      <c r="L48" s="20"/>
    </row>
    <row r="49" spans="1:12">
      <c r="A49" s="17" t="s">
        <v>196</v>
      </c>
      <c r="B49" s="17"/>
      <c r="C49" s="18">
        <v>25</v>
      </c>
      <c r="D49" s="19">
        <f t="shared" si="3"/>
        <v>45</v>
      </c>
      <c r="E49" s="19"/>
      <c r="F49" s="20">
        <v>16.2</v>
      </c>
      <c r="G49" s="20"/>
      <c r="H49" s="20">
        <f t="shared" si="0"/>
        <v>0.35200000000000004</v>
      </c>
      <c r="I49" s="20">
        <f>(D49-F49)/D49</f>
        <v>0.64</v>
      </c>
      <c r="J49" s="20">
        <f t="shared" si="1"/>
        <v>1.5432098765432098</v>
      </c>
      <c r="K49" s="20">
        <f t="shared" si="2"/>
        <v>2.7777777777777777</v>
      </c>
      <c r="L49" s="20"/>
    </row>
    <row r="50" spans="1:12">
      <c r="A50" s="17" t="s">
        <v>234</v>
      </c>
      <c r="B50" s="17"/>
      <c r="C50" s="18">
        <v>60</v>
      </c>
      <c r="D50" s="19">
        <f t="shared" si="3"/>
        <v>80</v>
      </c>
      <c r="E50" s="19"/>
      <c r="F50" s="20">
        <v>16.2</v>
      </c>
      <c r="G50" s="20"/>
      <c r="H50" s="20">
        <f t="shared" si="0"/>
        <v>0.73</v>
      </c>
      <c r="I50" s="20">
        <f>(D50-F50)/D50</f>
        <v>0.79749999999999999</v>
      </c>
      <c r="J50" s="20">
        <f t="shared" si="1"/>
        <v>3.7037037037037037</v>
      </c>
      <c r="K50" s="20">
        <f t="shared" si="2"/>
        <v>4.9382716049382722</v>
      </c>
      <c r="L50" s="20"/>
    </row>
    <row r="51" spans="1:12">
      <c r="A51" s="17" t="s">
        <v>235</v>
      </c>
      <c r="B51" s="17"/>
      <c r="C51" s="18">
        <v>40</v>
      </c>
      <c r="D51" s="19">
        <f t="shared" si="3"/>
        <v>60</v>
      </c>
      <c r="E51" s="19"/>
      <c r="F51" s="20">
        <v>16.2</v>
      </c>
      <c r="G51" s="20"/>
      <c r="H51" s="20">
        <f t="shared" si="0"/>
        <v>0.59499999999999997</v>
      </c>
      <c r="I51" s="20">
        <f>(D51-F51)/D51</f>
        <v>0.73</v>
      </c>
      <c r="J51" s="20">
        <f t="shared" si="1"/>
        <v>2.4691358024691361</v>
      </c>
      <c r="K51" s="20">
        <f t="shared" si="2"/>
        <v>3.7037037037037037</v>
      </c>
      <c r="L51" s="20"/>
    </row>
    <row r="52" spans="1:12">
      <c r="A52" s="17" t="s">
        <v>236</v>
      </c>
      <c r="B52" s="17"/>
      <c r="C52" s="18">
        <v>40</v>
      </c>
      <c r="D52" s="19">
        <f t="shared" si="3"/>
        <v>60</v>
      </c>
      <c r="E52" s="19"/>
      <c r="F52" s="20">
        <v>16.2</v>
      </c>
      <c r="G52" s="20"/>
      <c r="H52" s="20">
        <f t="shared" si="0"/>
        <v>0.59499999999999997</v>
      </c>
      <c r="I52" s="20">
        <f>(D52-F52)/D52</f>
        <v>0.73</v>
      </c>
      <c r="J52" s="20">
        <f t="shared" si="1"/>
        <v>2.4691358024691361</v>
      </c>
      <c r="K52" s="20">
        <f t="shared" si="2"/>
        <v>3.7037037037037037</v>
      </c>
      <c r="L52" s="20"/>
    </row>
    <row r="53" spans="1:12" ht="15.75">
      <c r="A53" s="16" t="s">
        <v>237</v>
      </c>
      <c r="B53" s="16"/>
      <c r="C53" s="18"/>
      <c r="D53" s="19"/>
      <c r="E53" s="19"/>
      <c r="F53" s="19"/>
      <c r="G53" s="19"/>
      <c r="H53" s="20" t="e">
        <f t="shared" si="0"/>
        <v>#DIV/0!</v>
      </c>
      <c r="I53" s="20"/>
      <c r="J53" s="20" t="e">
        <f t="shared" si="1"/>
        <v>#DIV/0!</v>
      </c>
      <c r="K53" s="20" t="e">
        <f t="shared" si="2"/>
        <v>#DIV/0!</v>
      </c>
      <c r="L53" s="20"/>
    </row>
    <row r="54" spans="1:12">
      <c r="A54" s="17" t="s">
        <v>238</v>
      </c>
      <c r="B54" s="17"/>
      <c r="C54" s="18" t="s">
        <v>239</v>
      </c>
      <c r="D54" s="23" t="s">
        <v>240</v>
      </c>
      <c r="E54" s="19" t="s">
        <v>193</v>
      </c>
      <c r="F54" s="20">
        <v>16.2</v>
      </c>
      <c r="G54" s="20"/>
      <c r="H54" s="20" t="e">
        <f t="shared" si="0"/>
        <v>#VALUE!</v>
      </c>
      <c r="I54" s="20"/>
      <c r="J54" s="20" t="e">
        <f t="shared" si="1"/>
        <v>#VALUE!</v>
      </c>
      <c r="K54" s="20" t="e">
        <f t="shared" si="2"/>
        <v>#VALUE!</v>
      </c>
      <c r="L54" s="20"/>
    </row>
    <row r="55" spans="1:12" ht="15.75">
      <c r="A55" s="16" t="s">
        <v>241</v>
      </c>
      <c r="B55" s="16"/>
      <c r="C55" s="18"/>
      <c r="D55" s="19"/>
      <c r="E55" s="19"/>
      <c r="F55" s="19"/>
      <c r="G55" s="19"/>
      <c r="H55" s="20" t="e">
        <f t="shared" si="0"/>
        <v>#DIV/0!</v>
      </c>
      <c r="I55" s="20"/>
      <c r="J55" s="20" t="e">
        <f t="shared" si="1"/>
        <v>#DIV/0!</v>
      </c>
      <c r="K55" s="20" t="e">
        <f t="shared" si="2"/>
        <v>#DIV/0!</v>
      </c>
      <c r="L55" s="20"/>
    </row>
    <row r="56" spans="1:12">
      <c r="A56" s="17" t="s">
        <v>242</v>
      </c>
      <c r="B56" s="17"/>
      <c r="C56" s="18">
        <v>75</v>
      </c>
      <c r="D56" s="19">
        <f>C56+20</f>
        <v>95</v>
      </c>
      <c r="E56" s="19" t="s">
        <v>193</v>
      </c>
      <c r="F56" s="20">
        <v>16.2</v>
      </c>
      <c r="G56" s="20"/>
      <c r="H56" s="20">
        <f t="shared" si="0"/>
        <v>0.78399999999999992</v>
      </c>
      <c r="I56" s="20">
        <f>(D56-F56)/D56</f>
        <v>0.82947368421052625</v>
      </c>
      <c r="J56" s="20">
        <f t="shared" si="1"/>
        <v>4.6296296296296298</v>
      </c>
      <c r="K56" s="20">
        <f t="shared" si="2"/>
        <v>5.8641975308641978</v>
      </c>
      <c r="L56" s="20"/>
    </row>
    <row r="57" spans="1:12">
      <c r="A57" s="17" t="s">
        <v>243</v>
      </c>
      <c r="B57" s="17"/>
      <c r="C57" s="18">
        <v>100</v>
      </c>
      <c r="D57" s="19">
        <f>C57+20</f>
        <v>120</v>
      </c>
      <c r="E57" s="19" t="s">
        <v>193</v>
      </c>
      <c r="F57" s="20">
        <v>16.2</v>
      </c>
      <c r="G57" s="20"/>
      <c r="H57" s="20">
        <f t="shared" si="0"/>
        <v>0.83799999999999997</v>
      </c>
      <c r="I57" s="20">
        <f>(D57-F57)/D57</f>
        <v>0.86499999999999999</v>
      </c>
      <c r="J57" s="20">
        <f t="shared" si="1"/>
        <v>6.1728395061728394</v>
      </c>
      <c r="K57" s="20">
        <f t="shared" si="2"/>
        <v>7.4074074074074074</v>
      </c>
      <c r="L57" s="20"/>
    </row>
    <row r="58" spans="1:12" ht="15.75">
      <c r="A58" s="21" t="s">
        <v>244</v>
      </c>
      <c r="B58" s="21"/>
      <c r="C58" s="18"/>
      <c r="D58" s="19"/>
      <c r="E58" s="19"/>
      <c r="F58" s="19"/>
      <c r="G58" s="19"/>
      <c r="H58" s="20" t="e">
        <f t="shared" si="0"/>
        <v>#DIV/0!</v>
      </c>
      <c r="I58" s="20" t="e">
        <f>(D58-F58)/D58</f>
        <v>#DIV/0!</v>
      </c>
      <c r="J58" s="20" t="e">
        <f t="shared" si="1"/>
        <v>#DIV/0!</v>
      </c>
      <c r="K58" s="20" t="e">
        <f t="shared" si="2"/>
        <v>#DIV/0!</v>
      </c>
      <c r="L58" s="20"/>
    </row>
    <row r="59" spans="1:12">
      <c r="A59" s="17" t="s">
        <v>245</v>
      </c>
      <c r="B59" s="17"/>
      <c r="C59" s="18">
        <v>100</v>
      </c>
      <c r="D59" s="19">
        <f t="shared" ref="D59:D95" si="4">C59+20</f>
        <v>120</v>
      </c>
      <c r="E59" s="19" t="s">
        <v>193</v>
      </c>
      <c r="F59" s="20">
        <v>16.2</v>
      </c>
      <c r="G59" s="20"/>
      <c r="H59" s="20">
        <f t="shared" si="0"/>
        <v>0.83799999999999997</v>
      </c>
      <c r="I59" s="20">
        <f>(D59-F59)/D59</f>
        <v>0.86499999999999999</v>
      </c>
      <c r="J59" s="20">
        <f t="shared" si="1"/>
        <v>6.1728395061728394</v>
      </c>
      <c r="K59" s="20">
        <f t="shared" si="2"/>
        <v>7.4074074074074074</v>
      </c>
      <c r="L59" s="20"/>
    </row>
    <row r="60" spans="1:12">
      <c r="A60" s="17" t="s">
        <v>246</v>
      </c>
      <c r="B60" s="17"/>
      <c r="C60" s="18">
        <v>55</v>
      </c>
      <c r="D60" s="19">
        <f t="shared" si="4"/>
        <v>75</v>
      </c>
      <c r="E60" s="19" t="s">
        <v>193</v>
      </c>
      <c r="F60" s="20">
        <v>16.2</v>
      </c>
      <c r="G60" s="20"/>
      <c r="H60" s="20">
        <f t="shared" si="0"/>
        <v>0.70545454545454545</v>
      </c>
      <c r="I60" s="20">
        <f>(D60-F60)/D60</f>
        <v>0.78399999999999992</v>
      </c>
      <c r="J60" s="20">
        <f t="shared" si="1"/>
        <v>3.3950617283950617</v>
      </c>
      <c r="K60" s="20">
        <f t="shared" si="2"/>
        <v>4.6296296296296298</v>
      </c>
      <c r="L60" s="20"/>
    </row>
    <row r="61" spans="1:12">
      <c r="A61" s="17" t="s">
        <v>247</v>
      </c>
      <c r="B61" s="17"/>
      <c r="C61" s="18">
        <v>25</v>
      </c>
      <c r="D61" s="19">
        <f t="shared" si="4"/>
        <v>45</v>
      </c>
      <c r="E61" s="19" t="s">
        <v>193</v>
      </c>
      <c r="F61" s="20">
        <v>16.2</v>
      </c>
      <c r="G61" s="20"/>
      <c r="H61" s="20">
        <f t="shared" si="0"/>
        <v>0.35200000000000004</v>
      </c>
      <c r="I61" s="20">
        <f>(D61-F61)/D61</f>
        <v>0.64</v>
      </c>
      <c r="J61" s="20">
        <f t="shared" si="1"/>
        <v>1.5432098765432098</v>
      </c>
      <c r="K61" s="20">
        <f t="shared" si="2"/>
        <v>2.7777777777777777</v>
      </c>
      <c r="L61" s="20"/>
    </row>
    <row r="62" spans="1:12">
      <c r="A62" s="17" t="s">
        <v>248</v>
      </c>
      <c r="B62" s="17"/>
      <c r="C62" s="18">
        <v>75</v>
      </c>
      <c r="D62" s="19">
        <f t="shared" si="4"/>
        <v>95</v>
      </c>
      <c r="E62" s="19" t="s">
        <v>193</v>
      </c>
      <c r="F62" s="20">
        <v>16.2</v>
      </c>
      <c r="G62" s="20"/>
      <c r="H62" s="20">
        <f t="shared" si="0"/>
        <v>0.78399999999999992</v>
      </c>
      <c r="I62" s="20">
        <f>(D62-F62)/D62</f>
        <v>0.82947368421052625</v>
      </c>
      <c r="J62" s="20">
        <f t="shared" si="1"/>
        <v>4.6296296296296298</v>
      </c>
      <c r="K62" s="20">
        <f t="shared" si="2"/>
        <v>5.8641975308641978</v>
      </c>
      <c r="L62" s="20"/>
    </row>
    <row r="63" spans="1:12">
      <c r="A63" s="17" t="s">
        <v>249</v>
      </c>
      <c r="B63" s="17"/>
      <c r="C63" s="18">
        <v>35</v>
      </c>
      <c r="D63" s="19">
        <f t="shared" si="4"/>
        <v>55</v>
      </c>
      <c r="E63" s="19" t="s">
        <v>193</v>
      </c>
      <c r="F63" s="20">
        <v>16.2</v>
      </c>
      <c r="G63" s="20"/>
      <c r="H63" s="20">
        <f t="shared" si="0"/>
        <v>0.53714285714285714</v>
      </c>
      <c r="I63" s="20">
        <f>(D63-F63)/D63</f>
        <v>0.70545454545454545</v>
      </c>
      <c r="J63" s="20">
        <f t="shared" si="1"/>
        <v>2.1604938271604941</v>
      </c>
      <c r="K63" s="20">
        <f t="shared" si="2"/>
        <v>3.3950617283950617</v>
      </c>
      <c r="L63" s="20"/>
    </row>
    <row r="64" spans="1:12" ht="15.75">
      <c r="A64" s="16" t="s">
        <v>250</v>
      </c>
      <c r="B64" s="16"/>
      <c r="C64" s="18"/>
      <c r="D64" s="19"/>
      <c r="E64" s="19"/>
      <c r="F64" s="19"/>
      <c r="G64" s="19"/>
      <c r="H64" s="20" t="e">
        <f t="shared" si="0"/>
        <v>#DIV/0!</v>
      </c>
      <c r="I64" s="20" t="e">
        <f>(D64-F64)/D64</f>
        <v>#DIV/0!</v>
      </c>
      <c r="J64" s="20" t="e">
        <f t="shared" si="1"/>
        <v>#DIV/0!</v>
      </c>
      <c r="K64" s="20" t="e">
        <f t="shared" si="2"/>
        <v>#DIV/0!</v>
      </c>
      <c r="L64" s="20"/>
    </row>
    <row r="65" spans="1:12">
      <c r="A65" s="17" t="s">
        <v>251</v>
      </c>
      <c r="B65" s="17"/>
      <c r="C65" s="18">
        <v>75</v>
      </c>
      <c r="D65" s="19">
        <f t="shared" si="4"/>
        <v>95</v>
      </c>
      <c r="E65" s="19" t="s">
        <v>193</v>
      </c>
      <c r="F65" s="20">
        <v>16.2</v>
      </c>
      <c r="G65" s="20"/>
      <c r="H65" s="20">
        <f t="shared" si="0"/>
        <v>0.78399999999999992</v>
      </c>
      <c r="I65" s="20">
        <f>(D65-F65)/D65</f>
        <v>0.82947368421052625</v>
      </c>
      <c r="J65" s="20">
        <f t="shared" si="1"/>
        <v>4.6296296296296298</v>
      </c>
      <c r="K65" s="20">
        <f t="shared" si="2"/>
        <v>5.8641975308641978</v>
      </c>
      <c r="L65" s="20"/>
    </row>
    <row r="66" spans="1:12">
      <c r="A66" s="17" t="s">
        <v>252</v>
      </c>
      <c r="B66" s="17"/>
      <c r="C66" s="18">
        <v>150</v>
      </c>
      <c r="D66" s="19">
        <f t="shared" si="4"/>
        <v>170</v>
      </c>
      <c r="E66" s="19" t="s">
        <v>193</v>
      </c>
      <c r="F66" s="20">
        <v>16.2</v>
      </c>
      <c r="G66" s="20"/>
      <c r="H66" s="20">
        <f t="shared" si="0"/>
        <v>0.89200000000000013</v>
      </c>
      <c r="I66" s="20">
        <f>(D66-F66)/D66</f>
        <v>0.90470588235294125</v>
      </c>
      <c r="J66" s="20">
        <f t="shared" si="1"/>
        <v>9.2592592592592595</v>
      </c>
      <c r="K66" s="20">
        <f t="shared" si="2"/>
        <v>10.493827160493828</v>
      </c>
      <c r="L66" s="20"/>
    </row>
    <row r="67" spans="1:12">
      <c r="A67" s="17" t="s">
        <v>243</v>
      </c>
      <c r="B67" s="17"/>
      <c r="C67" s="18">
        <v>100</v>
      </c>
      <c r="D67" s="19">
        <f t="shared" si="4"/>
        <v>120</v>
      </c>
      <c r="E67" s="19" t="s">
        <v>193</v>
      </c>
      <c r="F67" s="20">
        <v>16.2</v>
      </c>
      <c r="G67" s="20"/>
      <c r="H67" s="20">
        <f t="shared" si="0"/>
        <v>0.83799999999999997</v>
      </c>
      <c r="I67" s="20">
        <f>(D67-F67)/D67</f>
        <v>0.86499999999999999</v>
      </c>
      <c r="J67" s="20">
        <f t="shared" si="1"/>
        <v>6.1728395061728394</v>
      </c>
      <c r="K67" s="20">
        <f t="shared" si="2"/>
        <v>7.4074074074074074</v>
      </c>
      <c r="L67" s="20"/>
    </row>
    <row r="68" spans="1:12">
      <c r="A68" s="17" t="s">
        <v>253</v>
      </c>
      <c r="B68" s="17"/>
      <c r="C68" s="18">
        <v>25</v>
      </c>
      <c r="D68" s="19">
        <f t="shared" si="4"/>
        <v>45</v>
      </c>
      <c r="E68" s="19" t="s">
        <v>193</v>
      </c>
      <c r="F68" s="20">
        <v>16.2</v>
      </c>
      <c r="G68" s="20"/>
      <c r="H68" s="20">
        <f t="shared" ref="H68:H131" si="5">(C68-F68)/C68</f>
        <v>0.35200000000000004</v>
      </c>
      <c r="I68" s="20">
        <f t="shared" ref="I68:I131" si="6">(D68-F68)/D68</f>
        <v>0.64</v>
      </c>
      <c r="J68" s="20">
        <f t="shared" ref="J68:J131" si="7">C68/F68</f>
        <v>1.5432098765432098</v>
      </c>
      <c r="K68" s="20">
        <f t="shared" ref="K68:K131" si="8">D68/F68</f>
        <v>2.7777777777777777</v>
      </c>
      <c r="L68" s="20"/>
    </row>
    <row r="69" spans="1:12">
      <c r="A69" s="17" t="s">
        <v>254</v>
      </c>
      <c r="B69" s="17"/>
      <c r="C69" s="18">
        <v>25</v>
      </c>
      <c r="D69" s="19">
        <f t="shared" si="4"/>
        <v>45</v>
      </c>
      <c r="E69" s="19" t="s">
        <v>193</v>
      </c>
      <c r="F69" s="20">
        <v>16.2</v>
      </c>
      <c r="G69" s="20"/>
      <c r="H69" s="20">
        <f t="shared" si="5"/>
        <v>0.35200000000000004</v>
      </c>
      <c r="I69" s="20">
        <f t="shared" si="6"/>
        <v>0.64</v>
      </c>
      <c r="J69" s="20">
        <f t="shared" si="7"/>
        <v>1.5432098765432098</v>
      </c>
      <c r="K69" s="20">
        <f t="shared" si="8"/>
        <v>2.7777777777777777</v>
      </c>
      <c r="L69" s="20"/>
    </row>
    <row r="70" spans="1:12" ht="15.75">
      <c r="A70" s="16" t="s">
        <v>255</v>
      </c>
      <c r="B70" s="16"/>
      <c r="C70" s="18"/>
      <c r="D70" s="19"/>
      <c r="E70" s="19"/>
      <c r="F70" s="19"/>
      <c r="G70" s="19"/>
      <c r="H70" s="20" t="e">
        <f t="shared" si="5"/>
        <v>#DIV/0!</v>
      </c>
      <c r="I70" s="20" t="e">
        <f t="shared" si="6"/>
        <v>#DIV/0!</v>
      </c>
      <c r="J70" s="20" t="e">
        <f t="shared" si="7"/>
        <v>#DIV/0!</v>
      </c>
      <c r="K70" s="20" t="e">
        <f t="shared" si="8"/>
        <v>#DIV/0!</v>
      </c>
      <c r="L70" s="20"/>
    </row>
    <row r="71" spans="1:12">
      <c r="A71" s="17" t="s">
        <v>256</v>
      </c>
      <c r="B71" s="17"/>
      <c r="C71" s="18">
        <v>100</v>
      </c>
      <c r="D71" s="19">
        <f t="shared" si="4"/>
        <v>120</v>
      </c>
      <c r="E71" s="19" t="s">
        <v>193</v>
      </c>
      <c r="F71" s="20">
        <v>16.2</v>
      </c>
      <c r="G71" s="20"/>
      <c r="H71" s="20">
        <f t="shared" si="5"/>
        <v>0.83799999999999997</v>
      </c>
      <c r="I71" s="20">
        <f t="shared" si="6"/>
        <v>0.86499999999999999</v>
      </c>
      <c r="J71" s="20">
        <f t="shared" si="7"/>
        <v>6.1728395061728394</v>
      </c>
      <c r="K71" s="20">
        <f t="shared" si="8"/>
        <v>7.4074074074074074</v>
      </c>
      <c r="L71" s="20"/>
    </row>
    <row r="72" spans="1:12">
      <c r="A72" s="17" t="s">
        <v>257</v>
      </c>
      <c r="B72" s="17"/>
      <c r="C72" s="18">
        <v>100</v>
      </c>
      <c r="D72" s="19">
        <f t="shared" si="4"/>
        <v>120</v>
      </c>
      <c r="E72" s="19" t="s">
        <v>193</v>
      </c>
      <c r="F72" s="20">
        <v>16.2</v>
      </c>
      <c r="G72" s="20"/>
      <c r="H72" s="20">
        <f t="shared" si="5"/>
        <v>0.83799999999999997</v>
      </c>
      <c r="I72" s="20">
        <f t="shared" si="6"/>
        <v>0.86499999999999999</v>
      </c>
      <c r="J72" s="20">
        <f t="shared" si="7"/>
        <v>6.1728395061728394</v>
      </c>
      <c r="K72" s="20">
        <f t="shared" si="8"/>
        <v>7.4074074074074074</v>
      </c>
      <c r="L72" s="20"/>
    </row>
    <row r="73" spans="1:12" ht="15.75">
      <c r="A73" s="16" t="s">
        <v>258</v>
      </c>
      <c r="B73" s="16"/>
      <c r="C73" s="18"/>
      <c r="D73" s="19"/>
      <c r="E73" s="19"/>
      <c r="F73" s="19"/>
      <c r="G73" s="19"/>
      <c r="H73" s="20" t="e">
        <f t="shared" si="5"/>
        <v>#DIV/0!</v>
      </c>
      <c r="I73" s="20" t="e">
        <f t="shared" si="6"/>
        <v>#DIV/0!</v>
      </c>
      <c r="J73" s="20" t="e">
        <f t="shared" si="7"/>
        <v>#DIV/0!</v>
      </c>
      <c r="K73" s="20" t="e">
        <f t="shared" si="8"/>
        <v>#DIV/0!</v>
      </c>
      <c r="L73" s="20"/>
    </row>
    <row r="74" spans="1:12">
      <c r="A74" s="17" t="s">
        <v>259</v>
      </c>
      <c r="B74" s="17"/>
      <c r="C74" s="18">
        <v>35</v>
      </c>
      <c r="D74" s="19">
        <f t="shared" si="4"/>
        <v>55</v>
      </c>
      <c r="E74" s="19" t="s">
        <v>193</v>
      </c>
      <c r="F74" s="20">
        <v>16.2</v>
      </c>
      <c r="G74" s="20"/>
      <c r="H74" s="20">
        <f t="shared" si="5"/>
        <v>0.53714285714285714</v>
      </c>
      <c r="I74" s="20">
        <f t="shared" si="6"/>
        <v>0.70545454545454545</v>
      </c>
      <c r="J74" s="20">
        <f t="shared" si="7"/>
        <v>2.1604938271604941</v>
      </c>
      <c r="K74" s="20">
        <f t="shared" si="8"/>
        <v>3.3950617283950617</v>
      </c>
      <c r="L74" s="20"/>
    </row>
    <row r="75" spans="1:12">
      <c r="A75" s="17" t="s">
        <v>260</v>
      </c>
      <c r="B75" s="17"/>
      <c r="C75" s="18">
        <v>75</v>
      </c>
      <c r="D75" s="19">
        <f t="shared" si="4"/>
        <v>95</v>
      </c>
      <c r="E75" s="19" t="s">
        <v>193</v>
      </c>
      <c r="F75" s="20">
        <v>16.2</v>
      </c>
      <c r="G75" s="20"/>
      <c r="H75" s="20">
        <f t="shared" si="5"/>
        <v>0.78399999999999992</v>
      </c>
      <c r="I75" s="20">
        <f t="shared" si="6"/>
        <v>0.82947368421052625</v>
      </c>
      <c r="J75" s="20">
        <f t="shared" si="7"/>
        <v>4.6296296296296298</v>
      </c>
      <c r="K75" s="20">
        <f t="shared" si="8"/>
        <v>5.8641975308641978</v>
      </c>
      <c r="L75" s="20"/>
    </row>
    <row r="76" spans="1:12">
      <c r="A76" s="17" t="s">
        <v>261</v>
      </c>
      <c r="B76" s="17"/>
      <c r="C76" s="18">
        <v>50</v>
      </c>
      <c r="D76" s="19">
        <f t="shared" si="4"/>
        <v>70</v>
      </c>
      <c r="E76" s="19" t="s">
        <v>193</v>
      </c>
      <c r="F76" s="20">
        <v>16.2</v>
      </c>
      <c r="G76" s="20"/>
      <c r="H76" s="20">
        <f t="shared" si="5"/>
        <v>0.67599999999999993</v>
      </c>
      <c r="I76" s="20">
        <f t="shared" si="6"/>
        <v>0.76857142857142857</v>
      </c>
      <c r="J76" s="20">
        <f t="shared" si="7"/>
        <v>3.0864197530864197</v>
      </c>
      <c r="K76" s="20">
        <f t="shared" si="8"/>
        <v>4.3209876543209882</v>
      </c>
      <c r="L76" s="20"/>
    </row>
    <row r="77" spans="1:12">
      <c r="A77" s="17" t="s">
        <v>262</v>
      </c>
      <c r="B77" s="17"/>
      <c r="C77" s="18">
        <v>45</v>
      </c>
      <c r="D77" s="19">
        <f t="shared" si="4"/>
        <v>65</v>
      </c>
      <c r="E77" s="19" t="s">
        <v>193</v>
      </c>
      <c r="F77" s="20">
        <v>16.2</v>
      </c>
      <c r="G77" s="20"/>
      <c r="H77" s="20">
        <f t="shared" si="5"/>
        <v>0.64</v>
      </c>
      <c r="I77" s="20">
        <f t="shared" si="6"/>
        <v>0.75076923076923074</v>
      </c>
      <c r="J77" s="20">
        <f t="shared" si="7"/>
        <v>2.7777777777777777</v>
      </c>
      <c r="K77" s="20">
        <f t="shared" si="8"/>
        <v>4.0123456790123457</v>
      </c>
      <c r="L77" s="20"/>
    </row>
    <row r="78" spans="1:12">
      <c r="A78" s="17" t="s">
        <v>263</v>
      </c>
      <c r="B78" s="17"/>
      <c r="C78" s="18">
        <v>250</v>
      </c>
      <c r="D78" s="19">
        <f t="shared" si="4"/>
        <v>270</v>
      </c>
      <c r="E78" s="19" t="s">
        <v>193</v>
      </c>
      <c r="F78" s="20">
        <v>16.2</v>
      </c>
      <c r="G78" s="20"/>
      <c r="H78" s="20">
        <f t="shared" si="5"/>
        <v>0.93520000000000003</v>
      </c>
      <c r="I78" s="20">
        <f t="shared" si="6"/>
        <v>0.94000000000000006</v>
      </c>
      <c r="J78" s="20">
        <f t="shared" si="7"/>
        <v>15.4320987654321</v>
      </c>
      <c r="K78" s="20">
        <f t="shared" si="8"/>
        <v>16.666666666666668</v>
      </c>
      <c r="L78" s="20"/>
    </row>
    <row r="79" spans="1:12" ht="15.75">
      <c r="A79" s="16" t="s">
        <v>264</v>
      </c>
      <c r="B79" s="16"/>
      <c r="C79" s="18"/>
      <c r="D79" s="19"/>
      <c r="E79" s="19"/>
      <c r="F79" s="19"/>
      <c r="G79" s="19"/>
      <c r="H79" s="20" t="e">
        <f t="shared" si="5"/>
        <v>#DIV/0!</v>
      </c>
      <c r="I79" s="20" t="e">
        <f t="shared" si="6"/>
        <v>#DIV/0!</v>
      </c>
      <c r="J79" s="20" t="e">
        <f t="shared" si="7"/>
        <v>#DIV/0!</v>
      </c>
      <c r="K79" s="20" t="e">
        <f t="shared" si="8"/>
        <v>#DIV/0!</v>
      </c>
      <c r="L79" s="20"/>
    </row>
    <row r="80" spans="1:12">
      <c r="A80" s="17" t="s">
        <v>231</v>
      </c>
      <c r="B80" s="17"/>
      <c r="C80" s="18">
        <v>60</v>
      </c>
      <c r="D80" s="19">
        <f t="shared" si="4"/>
        <v>80</v>
      </c>
      <c r="E80" s="19" t="s">
        <v>193</v>
      </c>
      <c r="F80" s="20">
        <v>16.2</v>
      </c>
      <c r="G80" s="20"/>
      <c r="H80" s="20">
        <f t="shared" si="5"/>
        <v>0.73</v>
      </c>
      <c r="I80" s="20">
        <f t="shared" si="6"/>
        <v>0.79749999999999999</v>
      </c>
      <c r="J80" s="20">
        <f t="shared" si="7"/>
        <v>3.7037037037037037</v>
      </c>
      <c r="K80" s="20">
        <f t="shared" si="8"/>
        <v>4.9382716049382722</v>
      </c>
      <c r="L80" s="20"/>
    </row>
    <row r="81" spans="1:12" ht="15.75">
      <c r="A81" s="16" t="s">
        <v>265</v>
      </c>
      <c r="B81" s="16"/>
      <c r="C81" s="18"/>
      <c r="D81" s="19"/>
      <c r="E81" s="19"/>
      <c r="F81" s="19"/>
      <c r="G81" s="19"/>
      <c r="H81" s="20" t="e">
        <f t="shared" si="5"/>
        <v>#DIV/0!</v>
      </c>
      <c r="I81" s="20" t="e">
        <f t="shared" si="6"/>
        <v>#DIV/0!</v>
      </c>
      <c r="J81" s="20" t="e">
        <f t="shared" si="7"/>
        <v>#DIV/0!</v>
      </c>
      <c r="K81" s="20" t="e">
        <f t="shared" si="8"/>
        <v>#DIV/0!</v>
      </c>
      <c r="L81" s="20"/>
    </row>
    <row r="82" spans="1:12">
      <c r="A82" s="17" t="s">
        <v>266</v>
      </c>
      <c r="B82" s="17"/>
      <c r="C82" s="18">
        <v>350</v>
      </c>
      <c r="D82" s="19">
        <f t="shared" si="4"/>
        <v>370</v>
      </c>
      <c r="E82" s="19" t="s">
        <v>267</v>
      </c>
      <c r="F82" s="20">
        <v>22.78</v>
      </c>
      <c r="G82" s="20"/>
      <c r="H82" s="20">
        <f t="shared" si="5"/>
        <v>0.93491428571428581</v>
      </c>
      <c r="I82" s="20">
        <f t="shared" si="6"/>
        <v>0.93843243243243246</v>
      </c>
      <c r="J82" s="20">
        <f t="shared" si="7"/>
        <v>15.364354697102721</v>
      </c>
      <c r="K82" s="20">
        <f t="shared" si="8"/>
        <v>16.242317822651447</v>
      </c>
      <c r="L82" s="20"/>
    </row>
    <row r="83" spans="1:12">
      <c r="A83" s="17" t="s">
        <v>268</v>
      </c>
      <c r="B83" s="17"/>
      <c r="C83" s="18">
        <v>200</v>
      </c>
      <c r="D83" s="19">
        <f t="shared" si="4"/>
        <v>220</v>
      </c>
      <c r="E83" s="19" t="s">
        <v>267</v>
      </c>
      <c r="F83" s="20">
        <v>22.78</v>
      </c>
      <c r="G83" s="20"/>
      <c r="H83" s="20">
        <f t="shared" si="5"/>
        <v>0.8861</v>
      </c>
      <c r="I83" s="20">
        <f t="shared" si="6"/>
        <v>0.8964545454545455</v>
      </c>
      <c r="J83" s="20">
        <f t="shared" si="7"/>
        <v>8.7796312554872689</v>
      </c>
      <c r="K83" s="20">
        <f t="shared" si="8"/>
        <v>9.6575943810359952</v>
      </c>
      <c r="L83" s="20"/>
    </row>
    <row r="84" spans="1:12">
      <c r="A84" s="17" t="s">
        <v>269</v>
      </c>
      <c r="B84" s="17"/>
      <c r="C84" s="18">
        <v>100</v>
      </c>
      <c r="D84" s="19">
        <f t="shared" si="4"/>
        <v>120</v>
      </c>
      <c r="E84" s="19" t="s">
        <v>267</v>
      </c>
      <c r="F84" s="20">
        <v>22.78</v>
      </c>
      <c r="G84" s="20"/>
      <c r="H84" s="20">
        <f t="shared" si="5"/>
        <v>0.7722</v>
      </c>
      <c r="I84" s="20">
        <f t="shared" si="6"/>
        <v>0.8101666666666667</v>
      </c>
      <c r="J84" s="20">
        <f t="shared" si="7"/>
        <v>4.3898156277436344</v>
      </c>
      <c r="K84" s="20">
        <f t="shared" si="8"/>
        <v>5.2677787532923617</v>
      </c>
      <c r="L84" s="20"/>
    </row>
    <row r="85" spans="1:12">
      <c r="A85" s="17" t="s">
        <v>187</v>
      </c>
      <c r="B85" s="17"/>
      <c r="C85" s="18">
        <v>20</v>
      </c>
      <c r="D85" s="19">
        <f t="shared" si="4"/>
        <v>40</v>
      </c>
      <c r="E85" s="19" t="s">
        <v>193</v>
      </c>
      <c r="F85" s="20">
        <v>18.02</v>
      </c>
      <c r="G85" s="20"/>
      <c r="H85" s="20">
        <f t="shared" si="5"/>
        <v>9.9000000000000019E-2</v>
      </c>
      <c r="I85" s="20">
        <f t="shared" si="6"/>
        <v>0.54949999999999999</v>
      </c>
      <c r="J85" s="20">
        <f t="shared" si="7"/>
        <v>1.1098779134295227</v>
      </c>
      <c r="K85" s="20">
        <f t="shared" si="8"/>
        <v>2.2197558268590454</v>
      </c>
      <c r="L85" s="20"/>
    </row>
    <row r="86" spans="1:12">
      <c r="A86" s="17" t="s">
        <v>270</v>
      </c>
      <c r="B86" s="17"/>
      <c r="C86" s="18">
        <v>20</v>
      </c>
      <c r="D86" s="19">
        <f t="shared" si="4"/>
        <v>40</v>
      </c>
      <c r="E86" s="19" t="s">
        <v>193</v>
      </c>
      <c r="F86" s="20">
        <v>18.02</v>
      </c>
      <c r="G86" s="20"/>
      <c r="H86" s="20">
        <f t="shared" si="5"/>
        <v>9.9000000000000019E-2</v>
      </c>
      <c r="I86" s="20">
        <f t="shared" si="6"/>
        <v>0.54949999999999999</v>
      </c>
      <c r="J86" s="20">
        <f t="shared" si="7"/>
        <v>1.1098779134295227</v>
      </c>
      <c r="K86" s="20">
        <f t="shared" si="8"/>
        <v>2.2197558268590454</v>
      </c>
      <c r="L86" s="20"/>
    </row>
    <row r="87" spans="1:12">
      <c r="A87" s="17" t="s">
        <v>271</v>
      </c>
      <c r="B87" s="17"/>
      <c r="C87" s="18">
        <v>40</v>
      </c>
      <c r="D87" s="19">
        <f t="shared" si="4"/>
        <v>60</v>
      </c>
      <c r="E87" s="19" t="s">
        <v>272</v>
      </c>
      <c r="F87" s="20">
        <v>19.98</v>
      </c>
      <c r="G87" s="20"/>
      <c r="H87" s="20">
        <f t="shared" si="5"/>
        <v>0.50049999999999994</v>
      </c>
      <c r="I87" s="20">
        <f t="shared" si="6"/>
        <v>0.66699999999999993</v>
      </c>
      <c r="J87" s="20">
        <f t="shared" si="7"/>
        <v>2.0020020020020022</v>
      </c>
      <c r="K87" s="20">
        <f t="shared" si="8"/>
        <v>3.0030030030030028</v>
      </c>
      <c r="L87" s="20"/>
    </row>
    <row r="88" spans="1:12">
      <c r="A88" s="17" t="s">
        <v>273</v>
      </c>
      <c r="B88" s="17"/>
      <c r="C88" s="18">
        <v>10</v>
      </c>
      <c r="D88" s="19">
        <f t="shared" si="4"/>
        <v>30</v>
      </c>
      <c r="E88" s="19" t="s">
        <v>274</v>
      </c>
      <c r="F88" s="20">
        <v>18.239999999999998</v>
      </c>
      <c r="G88" s="20"/>
      <c r="H88" s="20">
        <f t="shared" si="5"/>
        <v>-0.82399999999999984</v>
      </c>
      <c r="I88" s="20">
        <f t="shared" si="6"/>
        <v>0.39200000000000007</v>
      </c>
      <c r="J88" s="20">
        <f t="shared" si="7"/>
        <v>0.54824561403508776</v>
      </c>
      <c r="K88" s="20">
        <f t="shared" si="8"/>
        <v>1.6447368421052633</v>
      </c>
      <c r="L88" s="20"/>
    </row>
    <row r="89" spans="1:12">
      <c r="A89" s="17" t="s">
        <v>275</v>
      </c>
      <c r="B89" s="17"/>
      <c r="C89" s="18">
        <v>20</v>
      </c>
      <c r="D89" s="19">
        <f t="shared" si="4"/>
        <v>40</v>
      </c>
      <c r="E89" s="19" t="s">
        <v>276</v>
      </c>
      <c r="F89" s="20">
        <v>18.89</v>
      </c>
      <c r="G89" s="20"/>
      <c r="H89" s="20">
        <f t="shared" si="5"/>
        <v>5.5499999999999973E-2</v>
      </c>
      <c r="I89" s="20">
        <f t="shared" si="6"/>
        <v>0.52774999999999994</v>
      </c>
      <c r="J89" s="20">
        <f t="shared" si="7"/>
        <v>1.0587612493382741</v>
      </c>
      <c r="K89" s="20">
        <f t="shared" si="8"/>
        <v>2.1175224986765482</v>
      </c>
      <c r="L89" s="20"/>
    </row>
    <row r="90" spans="1:12">
      <c r="A90" s="17" t="s">
        <v>277</v>
      </c>
      <c r="B90" s="17"/>
      <c r="C90" s="18">
        <v>10</v>
      </c>
      <c r="D90" s="19">
        <f t="shared" si="4"/>
        <v>30</v>
      </c>
      <c r="E90" s="19" t="s">
        <v>276</v>
      </c>
      <c r="F90" s="20">
        <v>18.89</v>
      </c>
      <c r="G90" s="20"/>
      <c r="H90" s="20">
        <f t="shared" si="5"/>
        <v>-0.88900000000000001</v>
      </c>
      <c r="I90" s="20">
        <f t="shared" si="6"/>
        <v>0.37033333333333329</v>
      </c>
      <c r="J90" s="20">
        <f t="shared" si="7"/>
        <v>0.52938062466913705</v>
      </c>
      <c r="K90" s="20">
        <f t="shared" si="8"/>
        <v>1.5881418740074114</v>
      </c>
      <c r="L90" s="20"/>
    </row>
    <row r="91" spans="1:12">
      <c r="A91" s="17" t="s">
        <v>278</v>
      </c>
      <c r="B91" s="17"/>
      <c r="C91" s="18">
        <v>5</v>
      </c>
      <c r="D91" s="19">
        <f t="shared" si="4"/>
        <v>25</v>
      </c>
      <c r="E91" s="19" t="s">
        <v>274</v>
      </c>
      <c r="F91" s="20">
        <v>18.239999999999998</v>
      </c>
      <c r="G91" s="20"/>
      <c r="H91" s="20">
        <f t="shared" si="5"/>
        <v>-2.6479999999999997</v>
      </c>
      <c r="I91" s="20">
        <f t="shared" si="6"/>
        <v>0.27040000000000008</v>
      </c>
      <c r="J91" s="20">
        <f t="shared" si="7"/>
        <v>0.27412280701754388</v>
      </c>
      <c r="K91" s="20">
        <f t="shared" si="8"/>
        <v>1.3706140350877194</v>
      </c>
      <c r="L91" s="20"/>
    </row>
    <row r="92" spans="1:12">
      <c r="A92" s="17" t="s">
        <v>279</v>
      </c>
      <c r="B92" s="17"/>
      <c r="C92" s="18">
        <v>50</v>
      </c>
      <c r="D92" s="19">
        <f t="shared" si="4"/>
        <v>70</v>
      </c>
      <c r="E92" s="19" t="s">
        <v>274</v>
      </c>
      <c r="F92" s="20">
        <v>18.239999999999998</v>
      </c>
      <c r="G92" s="20"/>
      <c r="H92" s="20">
        <f t="shared" si="5"/>
        <v>0.63519999999999999</v>
      </c>
      <c r="I92" s="20">
        <f t="shared" si="6"/>
        <v>0.73942857142857155</v>
      </c>
      <c r="J92" s="20">
        <f t="shared" si="7"/>
        <v>2.7412280701754388</v>
      </c>
      <c r="K92" s="20">
        <f t="shared" si="8"/>
        <v>3.8377192982456143</v>
      </c>
      <c r="L92" s="20"/>
    </row>
    <row r="93" spans="1:12">
      <c r="A93" s="17" t="s">
        <v>280</v>
      </c>
      <c r="B93" s="17"/>
      <c r="C93" s="18">
        <v>75</v>
      </c>
      <c r="D93" s="19">
        <f t="shared" si="4"/>
        <v>95</v>
      </c>
      <c r="E93" s="19" t="s">
        <v>281</v>
      </c>
      <c r="F93" s="20">
        <v>18.45</v>
      </c>
      <c r="G93" s="20"/>
      <c r="H93" s="20">
        <f t="shared" si="5"/>
        <v>0.754</v>
      </c>
      <c r="I93" s="20">
        <f t="shared" si="6"/>
        <v>0.8057894736842105</v>
      </c>
      <c r="J93" s="20">
        <f t="shared" si="7"/>
        <v>4.0650406504065044</v>
      </c>
      <c r="K93" s="20">
        <f t="shared" si="8"/>
        <v>5.1490514905149052</v>
      </c>
      <c r="L93" s="20"/>
    </row>
    <row r="94" spans="1:12">
      <c r="A94" s="17" t="s">
        <v>282</v>
      </c>
      <c r="B94" s="17"/>
      <c r="C94" s="18">
        <v>15</v>
      </c>
      <c r="D94" s="19">
        <f t="shared" si="4"/>
        <v>35</v>
      </c>
      <c r="E94" s="19" t="s">
        <v>281</v>
      </c>
      <c r="F94" s="20">
        <v>18.45</v>
      </c>
      <c r="G94" s="20"/>
      <c r="H94" s="20">
        <f t="shared" si="5"/>
        <v>-0.22999999999999995</v>
      </c>
      <c r="I94" s="20">
        <f t="shared" si="6"/>
        <v>0.47285714285714286</v>
      </c>
      <c r="J94" s="20">
        <f t="shared" si="7"/>
        <v>0.81300813008130079</v>
      </c>
      <c r="K94" s="20">
        <f t="shared" si="8"/>
        <v>1.897018970189702</v>
      </c>
      <c r="L94" s="20"/>
    </row>
    <row r="95" spans="1:12">
      <c r="A95" s="17" t="s">
        <v>283</v>
      </c>
      <c r="B95" s="17"/>
      <c r="C95" s="18">
        <v>30</v>
      </c>
      <c r="D95" s="19">
        <f t="shared" si="4"/>
        <v>50</v>
      </c>
      <c r="E95" s="19"/>
      <c r="F95" s="19"/>
      <c r="G95" s="19"/>
      <c r="H95" s="20">
        <f t="shared" si="5"/>
        <v>1</v>
      </c>
      <c r="I95" s="20">
        <f t="shared" si="6"/>
        <v>1</v>
      </c>
      <c r="J95" s="20" t="e">
        <f t="shared" si="7"/>
        <v>#DIV/0!</v>
      </c>
      <c r="K95" s="20" t="e">
        <f t="shared" si="8"/>
        <v>#DIV/0!</v>
      </c>
      <c r="L95" s="20"/>
    </row>
    <row r="96" spans="1:12">
      <c r="A96" s="17" t="s">
        <v>284</v>
      </c>
      <c r="B96" s="17"/>
      <c r="C96" s="18" t="s">
        <v>285</v>
      </c>
      <c r="D96" s="23" t="s">
        <v>286</v>
      </c>
      <c r="E96" s="23"/>
      <c r="F96" s="23"/>
      <c r="G96" s="23"/>
      <c r="H96" s="20" t="e">
        <f t="shared" si="5"/>
        <v>#VALUE!</v>
      </c>
      <c r="I96" s="20" t="e">
        <f t="shared" si="6"/>
        <v>#VALUE!</v>
      </c>
      <c r="J96" s="20" t="e">
        <f t="shared" si="7"/>
        <v>#VALUE!</v>
      </c>
      <c r="K96" s="20" t="e">
        <f t="shared" si="8"/>
        <v>#VALUE!</v>
      </c>
      <c r="L96" s="20"/>
    </row>
    <row r="97" spans="1:12">
      <c r="A97" s="17" t="s">
        <v>287</v>
      </c>
      <c r="B97" s="17"/>
      <c r="C97" s="18" t="s">
        <v>288</v>
      </c>
      <c r="D97" s="23" t="s">
        <v>289</v>
      </c>
      <c r="E97" s="23"/>
      <c r="F97" s="23"/>
      <c r="G97" s="23"/>
      <c r="H97" s="20" t="e">
        <f t="shared" si="5"/>
        <v>#VALUE!</v>
      </c>
      <c r="I97" s="20" t="e">
        <f t="shared" si="6"/>
        <v>#VALUE!</v>
      </c>
      <c r="J97" s="20" t="e">
        <f t="shared" si="7"/>
        <v>#VALUE!</v>
      </c>
      <c r="K97" s="20" t="e">
        <f t="shared" si="8"/>
        <v>#VALUE!</v>
      </c>
      <c r="L97" s="20"/>
    </row>
    <row r="98" spans="1:12">
      <c r="A98" s="17" t="s">
        <v>290</v>
      </c>
      <c r="B98" s="17"/>
      <c r="C98" s="18" t="s">
        <v>291</v>
      </c>
      <c r="D98" s="23" t="s">
        <v>292</v>
      </c>
      <c r="E98" s="23"/>
      <c r="F98" s="23"/>
      <c r="G98" s="23"/>
      <c r="H98" s="20" t="e">
        <f t="shared" si="5"/>
        <v>#VALUE!</v>
      </c>
      <c r="I98" s="20" t="e">
        <f t="shared" si="6"/>
        <v>#VALUE!</v>
      </c>
      <c r="J98" s="20" t="e">
        <f t="shared" si="7"/>
        <v>#VALUE!</v>
      </c>
      <c r="K98" s="20" t="e">
        <f t="shared" si="8"/>
        <v>#VALUE!</v>
      </c>
      <c r="L98" s="20"/>
    </row>
    <row r="99" spans="1:12" ht="15.75">
      <c r="A99" s="16" t="s">
        <v>293</v>
      </c>
      <c r="B99" s="16"/>
      <c r="C99" s="18"/>
      <c r="D99" s="19"/>
      <c r="E99" s="19"/>
      <c r="F99" s="19"/>
      <c r="G99" s="19"/>
      <c r="H99" s="20" t="e">
        <f t="shared" si="5"/>
        <v>#DIV/0!</v>
      </c>
      <c r="I99" s="20" t="e">
        <f t="shared" si="6"/>
        <v>#DIV/0!</v>
      </c>
      <c r="J99" s="20" t="e">
        <f t="shared" si="7"/>
        <v>#DIV/0!</v>
      </c>
      <c r="K99" s="20" t="e">
        <f t="shared" si="8"/>
        <v>#DIV/0!</v>
      </c>
      <c r="L99" s="20"/>
    </row>
    <row r="100" spans="1:12">
      <c r="A100" s="17" t="s">
        <v>215</v>
      </c>
      <c r="B100" s="17"/>
      <c r="C100" s="18">
        <v>50</v>
      </c>
      <c r="D100" s="19">
        <f>C100+20</f>
        <v>70</v>
      </c>
      <c r="E100" s="19" t="s">
        <v>294</v>
      </c>
      <c r="F100" s="20">
        <v>17.420000000000002</v>
      </c>
      <c r="G100" s="20"/>
      <c r="H100" s="20">
        <f t="shared" si="5"/>
        <v>0.65159999999999996</v>
      </c>
      <c r="I100" s="20">
        <f t="shared" si="6"/>
        <v>0.75114285714285711</v>
      </c>
      <c r="J100" s="20">
        <f t="shared" si="7"/>
        <v>2.8702640642939148</v>
      </c>
      <c r="K100" s="20">
        <f t="shared" si="8"/>
        <v>4.0183696900114807</v>
      </c>
      <c r="L100" s="20"/>
    </row>
    <row r="101" spans="1:12">
      <c r="A101" s="17" t="s">
        <v>295</v>
      </c>
      <c r="B101" s="17"/>
      <c r="C101" s="18">
        <v>20</v>
      </c>
      <c r="D101" s="19">
        <f t="shared" ref="D101:D113" si="9">C101+20</f>
        <v>40</v>
      </c>
      <c r="E101" s="19" t="s">
        <v>296</v>
      </c>
      <c r="F101" s="20">
        <v>16.61</v>
      </c>
      <c r="G101" s="20"/>
      <c r="H101" s="20">
        <f t="shared" si="5"/>
        <v>0.16950000000000004</v>
      </c>
      <c r="I101" s="20">
        <f t="shared" si="6"/>
        <v>0.58474999999999999</v>
      </c>
      <c r="J101" s="20">
        <f t="shared" si="7"/>
        <v>1.2040939193257074</v>
      </c>
      <c r="K101" s="20">
        <f t="shared" si="8"/>
        <v>2.4081878386514148</v>
      </c>
      <c r="L101" s="20"/>
    </row>
    <row r="102" spans="1:12">
      <c r="A102" s="17" t="s">
        <v>297</v>
      </c>
      <c r="B102" s="17"/>
      <c r="C102" s="18">
        <v>40</v>
      </c>
      <c r="D102" s="19">
        <f t="shared" si="9"/>
        <v>60</v>
      </c>
      <c r="E102" s="20" t="s">
        <v>298</v>
      </c>
      <c r="F102" s="20">
        <v>24.33</v>
      </c>
      <c r="G102" s="20"/>
      <c r="H102" s="20">
        <f t="shared" si="5"/>
        <v>0.39175000000000004</v>
      </c>
      <c r="I102" s="20">
        <f t="shared" si="6"/>
        <v>0.59450000000000003</v>
      </c>
      <c r="J102" s="20">
        <f t="shared" si="7"/>
        <v>1.6440608302507194</v>
      </c>
      <c r="K102" s="20">
        <f t="shared" si="8"/>
        <v>2.466091245376079</v>
      </c>
      <c r="L102" s="20"/>
    </row>
    <row r="103" spans="1:12">
      <c r="A103" s="17" t="s">
        <v>299</v>
      </c>
      <c r="B103" s="17"/>
      <c r="C103" s="18">
        <v>70</v>
      </c>
      <c r="D103" s="19">
        <f t="shared" si="9"/>
        <v>90</v>
      </c>
      <c r="E103" s="20" t="s">
        <v>298</v>
      </c>
      <c r="F103" s="20">
        <v>24.33</v>
      </c>
      <c r="G103" s="20"/>
      <c r="H103" s="20">
        <f t="shared" si="5"/>
        <v>0.65242857142857147</v>
      </c>
      <c r="I103" s="20">
        <f t="shared" si="6"/>
        <v>0.72966666666666669</v>
      </c>
      <c r="J103" s="20">
        <f t="shared" si="7"/>
        <v>2.8771064529387589</v>
      </c>
      <c r="K103" s="20">
        <f t="shared" si="8"/>
        <v>3.6991368680641186</v>
      </c>
      <c r="L103" s="20"/>
    </row>
    <row r="104" spans="1:12">
      <c r="A104" s="17" t="s">
        <v>300</v>
      </c>
      <c r="B104" s="17"/>
      <c r="C104" s="18">
        <v>30</v>
      </c>
      <c r="D104" s="19">
        <f t="shared" si="9"/>
        <v>50</v>
      </c>
      <c r="E104" s="19" t="s">
        <v>296</v>
      </c>
      <c r="F104" s="20">
        <v>16.61</v>
      </c>
      <c r="G104" s="20"/>
      <c r="H104" s="20">
        <f t="shared" si="5"/>
        <v>0.44633333333333336</v>
      </c>
      <c r="I104" s="20">
        <f t="shared" si="6"/>
        <v>0.66780000000000006</v>
      </c>
      <c r="J104" s="20">
        <f t="shared" si="7"/>
        <v>1.8061408789885611</v>
      </c>
      <c r="K104" s="20">
        <f t="shared" si="8"/>
        <v>3.0102347983142685</v>
      </c>
      <c r="L104" s="20"/>
    </row>
    <row r="105" spans="1:12" ht="15.75">
      <c r="A105" s="16" t="s">
        <v>301</v>
      </c>
      <c r="B105" s="16"/>
      <c r="C105" s="18"/>
      <c r="D105" s="19"/>
      <c r="E105" s="19"/>
      <c r="F105" s="19"/>
      <c r="G105" s="19"/>
      <c r="H105" s="20" t="e">
        <f t="shared" si="5"/>
        <v>#DIV/0!</v>
      </c>
      <c r="I105" s="20" t="e">
        <f t="shared" si="6"/>
        <v>#DIV/0!</v>
      </c>
      <c r="J105" s="20" t="e">
        <f t="shared" si="7"/>
        <v>#DIV/0!</v>
      </c>
      <c r="K105" s="20" t="e">
        <f t="shared" si="8"/>
        <v>#DIV/0!</v>
      </c>
      <c r="L105" s="20"/>
    </row>
    <row r="106" spans="1:12">
      <c r="A106" s="17" t="s">
        <v>217</v>
      </c>
      <c r="B106" s="17"/>
      <c r="C106" s="18">
        <v>65</v>
      </c>
      <c r="D106" s="19">
        <f t="shared" si="9"/>
        <v>85</v>
      </c>
      <c r="E106" s="19" t="s">
        <v>193</v>
      </c>
      <c r="F106" s="20">
        <v>16.2</v>
      </c>
      <c r="G106" s="20"/>
      <c r="H106" s="20">
        <f t="shared" si="5"/>
        <v>0.75076923076923074</v>
      </c>
      <c r="I106" s="20">
        <f t="shared" si="6"/>
        <v>0.80941176470588228</v>
      </c>
      <c r="J106" s="20">
        <f t="shared" si="7"/>
        <v>4.0123456790123457</v>
      </c>
      <c r="K106" s="20">
        <f t="shared" si="8"/>
        <v>5.2469135802469138</v>
      </c>
      <c r="L106" s="20"/>
    </row>
    <row r="107" spans="1:12">
      <c r="A107" s="17" t="s">
        <v>302</v>
      </c>
      <c r="B107" s="17"/>
      <c r="C107" s="18">
        <v>300</v>
      </c>
      <c r="D107" s="19">
        <f t="shared" si="9"/>
        <v>320</v>
      </c>
      <c r="E107" s="19" t="s">
        <v>193</v>
      </c>
      <c r="F107" s="20">
        <v>16.2</v>
      </c>
      <c r="G107" s="20"/>
      <c r="H107" s="20">
        <f t="shared" si="5"/>
        <v>0.94600000000000006</v>
      </c>
      <c r="I107" s="20">
        <f t="shared" si="6"/>
        <v>0.94937500000000008</v>
      </c>
      <c r="J107" s="20">
        <f t="shared" si="7"/>
        <v>18.518518518518519</v>
      </c>
      <c r="K107" s="20">
        <f t="shared" si="8"/>
        <v>19.753086419753089</v>
      </c>
      <c r="L107" s="20"/>
    </row>
    <row r="108" spans="1:12">
      <c r="A108" s="17" t="s">
        <v>303</v>
      </c>
      <c r="B108" s="17"/>
      <c r="C108" s="18">
        <v>350</v>
      </c>
      <c r="D108" s="19">
        <f t="shared" si="9"/>
        <v>370</v>
      </c>
      <c r="E108" s="19" t="s">
        <v>193</v>
      </c>
      <c r="F108" s="20">
        <v>16.2</v>
      </c>
      <c r="G108" s="20"/>
      <c r="H108" s="20">
        <f t="shared" si="5"/>
        <v>0.95371428571428574</v>
      </c>
      <c r="I108" s="20">
        <f t="shared" si="6"/>
        <v>0.95621621621621622</v>
      </c>
      <c r="J108" s="20">
        <f t="shared" si="7"/>
        <v>21.60493827160494</v>
      </c>
      <c r="K108" s="20">
        <f t="shared" si="8"/>
        <v>22.839506172839506</v>
      </c>
      <c r="L108" s="20"/>
    </row>
    <row r="109" spans="1:12">
      <c r="A109" s="17" t="s">
        <v>304</v>
      </c>
      <c r="B109" s="17"/>
      <c r="C109" s="18">
        <v>40</v>
      </c>
      <c r="D109" s="19">
        <f t="shared" si="9"/>
        <v>60</v>
      </c>
      <c r="E109" s="19" t="s">
        <v>193</v>
      </c>
      <c r="F109" s="20">
        <v>16.2</v>
      </c>
      <c r="G109" s="20"/>
      <c r="H109" s="20">
        <f t="shared" si="5"/>
        <v>0.59499999999999997</v>
      </c>
      <c r="I109" s="20">
        <f t="shared" si="6"/>
        <v>0.73</v>
      </c>
      <c r="J109" s="20">
        <f t="shared" si="7"/>
        <v>2.4691358024691361</v>
      </c>
      <c r="K109" s="20">
        <f t="shared" si="8"/>
        <v>3.7037037037037037</v>
      </c>
      <c r="L109" s="20"/>
    </row>
    <row r="110" spans="1:12">
      <c r="A110" s="17" t="s">
        <v>305</v>
      </c>
      <c r="B110" s="17"/>
      <c r="C110" s="18">
        <v>175</v>
      </c>
      <c r="D110" s="19">
        <f t="shared" si="9"/>
        <v>195</v>
      </c>
      <c r="E110" s="19" t="s">
        <v>193</v>
      </c>
      <c r="F110" s="20">
        <v>16.2</v>
      </c>
      <c r="G110" s="20"/>
      <c r="H110" s="20">
        <f t="shared" si="5"/>
        <v>0.90742857142857147</v>
      </c>
      <c r="I110" s="20">
        <f t="shared" si="6"/>
        <v>0.91692307692307695</v>
      </c>
      <c r="J110" s="20">
        <f t="shared" si="7"/>
        <v>10.80246913580247</v>
      </c>
      <c r="K110" s="20">
        <f t="shared" si="8"/>
        <v>12.037037037037038</v>
      </c>
      <c r="L110" s="20"/>
    </row>
    <row r="111" spans="1:12">
      <c r="A111" s="17" t="s">
        <v>306</v>
      </c>
      <c r="B111" s="17"/>
      <c r="C111" s="18">
        <v>300</v>
      </c>
      <c r="D111" s="19">
        <f t="shared" si="9"/>
        <v>320</v>
      </c>
      <c r="E111" s="19" t="s">
        <v>193</v>
      </c>
      <c r="F111" s="20">
        <v>16.2</v>
      </c>
      <c r="G111" s="20"/>
      <c r="H111" s="20">
        <f t="shared" si="5"/>
        <v>0.94600000000000006</v>
      </c>
      <c r="I111" s="20">
        <f t="shared" si="6"/>
        <v>0.94937500000000008</v>
      </c>
      <c r="J111" s="20">
        <f t="shared" si="7"/>
        <v>18.518518518518519</v>
      </c>
      <c r="K111" s="20">
        <f t="shared" si="8"/>
        <v>19.753086419753089</v>
      </c>
      <c r="L111" s="20"/>
    </row>
    <row r="112" spans="1:12">
      <c r="A112" s="17" t="s">
        <v>307</v>
      </c>
      <c r="B112" s="17"/>
      <c r="C112" s="18">
        <v>350</v>
      </c>
      <c r="D112" s="19">
        <f t="shared" si="9"/>
        <v>370</v>
      </c>
      <c r="E112" s="19" t="s">
        <v>193</v>
      </c>
      <c r="F112" s="20">
        <v>16.2</v>
      </c>
      <c r="G112" s="20"/>
      <c r="H112" s="20">
        <f t="shared" si="5"/>
        <v>0.95371428571428574</v>
      </c>
      <c r="I112" s="20">
        <f t="shared" si="6"/>
        <v>0.95621621621621622</v>
      </c>
      <c r="J112" s="20">
        <f t="shared" si="7"/>
        <v>21.60493827160494</v>
      </c>
      <c r="K112" s="20">
        <f t="shared" si="8"/>
        <v>22.839506172839506</v>
      </c>
      <c r="L112" s="20"/>
    </row>
    <row r="113" spans="1:12">
      <c r="A113" s="17" t="s">
        <v>308</v>
      </c>
      <c r="B113" s="17"/>
      <c r="C113" s="18">
        <v>475</v>
      </c>
      <c r="D113" s="19">
        <f t="shared" si="9"/>
        <v>495</v>
      </c>
      <c r="E113" s="19" t="s">
        <v>193</v>
      </c>
      <c r="F113" s="20">
        <v>16.2</v>
      </c>
      <c r="G113" s="20"/>
      <c r="H113" s="20">
        <f t="shared" si="5"/>
        <v>0.96589473684210525</v>
      </c>
      <c r="I113" s="20">
        <f t="shared" si="6"/>
        <v>0.96727272727272728</v>
      </c>
      <c r="J113" s="20">
        <f t="shared" si="7"/>
        <v>29.320987654320987</v>
      </c>
      <c r="K113" s="20">
        <f t="shared" si="8"/>
        <v>30.555555555555557</v>
      </c>
      <c r="L113" s="20"/>
    </row>
    <row r="114" spans="1:12" ht="15.75">
      <c r="A114" s="16" t="s">
        <v>309</v>
      </c>
      <c r="B114" s="16"/>
      <c r="C114" s="18"/>
      <c r="D114" s="19"/>
      <c r="E114" s="19"/>
      <c r="F114" s="19"/>
      <c r="G114" s="19"/>
      <c r="H114" s="20" t="e">
        <f t="shared" si="5"/>
        <v>#DIV/0!</v>
      </c>
      <c r="I114" s="20" t="e">
        <f t="shared" si="6"/>
        <v>#DIV/0!</v>
      </c>
      <c r="J114" s="20" t="e">
        <f t="shared" si="7"/>
        <v>#DIV/0!</v>
      </c>
      <c r="K114" s="20" t="e">
        <f t="shared" si="8"/>
        <v>#DIV/0!</v>
      </c>
      <c r="L114" s="20"/>
    </row>
    <row r="115" spans="1:12">
      <c r="A115" s="17" t="s">
        <v>310</v>
      </c>
      <c r="B115" s="17"/>
      <c r="C115" s="18">
        <v>65</v>
      </c>
      <c r="D115" s="19">
        <f>C115+20</f>
        <v>85</v>
      </c>
      <c r="E115" s="19" t="s">
        <v>193</v>
      </c>
      <c r="F115" s="20">
        <v>16.2</v>
      </c>
      <c r="G115" s="20"/>
      <c r="H115" s="20">
        <f t="shared" si="5"/>
        <v>0.75076923076923074</v>
      </c>
      <c r="I115" s="20">
        <f t="shared" si="6"/>
        <v>0.80941176470588228</v>
      </c>
      <c r="J115" s="20">
        <f t="shared" si="7"/>
        <v>4.0123456790123457</v>
      </c>
      <c r="K115" s="20">
        <f t="shared" si="8"/>
        <v>5.2469135802469138</v>
      </c>
      <c r="L115" s="20"/>
    </row>
    <row r="116" spans="1:12">
      <c r="A116" s="17" t="s">
        <v>311</v>
      </c>
      <c r="B116" s="17"/>
      <c r="C116" s="18">
        <v>55</v>
      </c>
      <c r="D116" s="19">
        <f>C116+20</f>
        <v>75</v>
      </c>
      <c r="E116" s="19" t="s">
        <v>193</v>
      </c>
      <c r="F116" s="20">
        <v>16.2</v>
      </c>
      <c r="G116" s="20"/>
      <c r="H116" s="20">
        <f t="shared" si="5"/>
        <v>0.70545454545454545</v>
      </c>
      <c r="I116" s="20">
        <f t="shared" si="6"/>
        <v>0.78399999999999992</v>
      </c>
      <c r="J116" s="20">
        <f t="shared" si="7"/>
        <v>3.3950617283950617</v>
      </c>
      <c r="K116" s="20">
        <f t="shared" si="8"/>
        <v>4.6296296296296298</v>
      </c>
      <c r="L116" s="20"/>
    </row>
    <row r="117" spans="1:12">
      <c r="A117" s="17" t="s">
        <v>256</v>
      </c>
      <c r="B117" s="17"/>
      <c r="C117" s="18">
        <v>50</v>
      </c>
      <c r="D117" s="19">
        <f>C117+20</f>
        <v>70</v>
      </c>
      <c r="E117" s="19" t="s">
        <v>193</v>
      </c>
      <c r="F117" s="20">
        <v>16.2</v>
      </c>
      <c r="G117" s="20"/>
      <c r="H117" s="20">
        <f t="shared" si="5"/>
        <v>0.67599999999999993</v>
      </c>
      <c r="I117" s="20">
        <f t="shared" si="6"/>
        <v>0.76857142857142857</v>
      </c>
      <c r="J117" s="20">
        <f t="shared" si="7"/>
        <v>3.0864197530864197</v>
      </c>
      <c r="K117" s="20">
        <f t="shared" si="8"/>
        <v>4.3209876543209882</v>
      </c>
      <c r="L117" s="20"/>
    </row>
    <row r="118" spans="1:12">
      <c r="A118" s="17" t="s">
        <v>257</v>
      </c>
      <c r="B118" s="17"/>
      <c r="C118" s="18">
        <v>50</v>
      </c>
      <c r="D118" s="19">
        <f>C118+20</f>
        <v>70</v>
      </c>
      <c r="E118" s="19" t="s">
        <v>193</v>
      </c>
      <c r="F118" s="20">
        <v>16.2</v>
      </c>
      <c r="G118" s="20"/>
      <c r="H118" s="20">
        <f t="shared" si="5"/>
        <v>0.67599999999999993</v>
      </c>
      <c r="I118" s="20">
        <f t="shared" si="6"/>
        <v>0.76857142857142857</v>
      </c>
      <c r="J118" s="20">
        <f t="shared" si="7"/>
        <v>3.0864197530864197</v>
      </c>
      <c r="K118" s="20">
        <f t="shared" si="8"/>
        <v>4.3209876543209882</v>
      </c>
      <c r="L118" s="20"/>
    </row>
    <row r="119" spans="1:12" ht="15.75">
      <c r="A119" s="16" t="s">
        <v>312</v>
      </c>
      <c r="B119" s="16"/>
      <c r="C119" s="18"/>
      <c r="D119" s="19"/>
      <c r="E119" s="19"/>
      <c r="F119" s="19"/>
      <c r="G119" s="19"/>
      <c r="H119" s="20" t="e">
        <f t="shared" si="5"/>
        <v>#DIV/0!</v>
      </c>
      <c r="I119" s="20" t="e">
        <f t="shared" si="6"/>
        <v>#DIV/0!</v>
      </c>
      <c r="J119" s="20" t="e">
        <f t="shared" si="7"/>
        <v>#DIV/0!</v>
      </c>
      <c r="K119" s="20" t="e">
        <f t="shared" si="8"/>
        <v>#DIV/0!</v>
      </c>
      <c r="L119" s="20"/>
    </row>
    <row r="120" spans="1:12">
      <c r="A120" s="17" t="s">
        <v>313</v>
      </c>
      <c r="B120" s="17"/>
      <c r="C120" s="18">
        <v>100</v>
      </c>
      <c r="D120" s="19">
        <f t="shared" ref="D120:D137" si="10">C120+20</f>
        <v>120</v>
      </c>
      <c r="E120" s="19" t="s">
        <v>193</v>
      </c>
      <c r="F120" s="20">
        <v>16.2</v>
      </c>
      <c r="G120" s="20"/>
      <c r="H120" s="20">
        <f t="shared" si="5"/>
        <v>0.83799999999999997</v>
      </c>
      <c r="I120" s="20">
        <f t="shared" si="6"/>
        <v>0.86499999999999999</v>
      </c>
      <c r="J120" s="20">
        <f t="shared" si="7"/>
        <v>6.1728395061728394</v>
      </c>
      <c r="K120" s="20">
        <f t="shared" si="8"/>
        <v>7.4074074074074074</v>
      </c>
      <c r="L120" s="20"/>
    </row>
    <row r="121" spans="1:12">
      <c r="A121" s="17" t="s">
        <v>314</v>
      </c>
      <c r="B121" s="17"/>
      <c r="C121" s="18">
        <v>55</v>
      </c>
      <c r="D121" s="19">
        <f t="shared" si="10"/>
        <v>75</v>
      </c>
      <c r="E121" s="19" t="s">
        <v>193</v>
      </c>
      <c r="F121" s="20">
        <v>16.2</v>
      </c>
      <c r="G121" s="20"/>
      <c r="H121" s="20">
        <f t="shared" si="5"/>
        <v>0.70545454545454545</v>
      </c>
      <c r="I121" s="20">
        <f t="shared" si="6"/>
        <v>0.78399999999999992</v>
      </c>
      <c r="J121" s="20">
        <f t="shared" si="7"/>
        <v>3.3950617283950617</v>
      </c>
      <c r="K121" s="20">
        <f t="shared" si="8"/>
        <v>4.6296296296296298</v>
      </c>
      <c r="L121" s="20"/>
    </row>
    <row r="122" spans="1:12">
      <c r="A122" s="17" t="s">
        <v>315</v>
      </c>
      <c r="B122" s="17"/>
      <c r="C122" s="18">
        <v>55</v>
      </c>
      <c r="D122" s="19">
        <f t="shared" si="10"/>
        <v>75</v>
      </c>
      <c r="E122" s="19" t="s">
        <v>193</v>
      </c>
      <c r="F122" s="20">
        <v>16.2</v>
      </c>
      <c r="G122" s="20"/>
      <c r="H122" s="20">
        <f t="shared" si="5"/>
        <v>0.70545454545454545</v>
      </c>
      <c r="I122" s="20">
        <f t="shared" si="6"/>
        <v>0.78399999999999992</v>
      </c>
      <c r="J122" s="20">
        <f t="shared" si="7"/>
        <v>3.3950617283950617</v>
      </c>
      <c r="K122" s="20">
        <f t="shared" si="8"/>
        <v>4.6296296296296298</v>
      </c>
      <c r="L122" s="20"/>
    </row>
    <row r="123" spans="1:12">
      <c r="A123" s="17" t="s">
        <v>316</v>
      </c>
      <c r="B123" s="17"/>
      <c r="C123" s="18">
        <v>100</v>
      </c>
      <c r="D123" s="19">
        <f t="shared" si="10"/>
        <v>120</v>
      </c>
      <c r="E123" s="19" t="s">
        <v>193</v>
      </c>
      <c r="F123" s="20">
        <v>16.2</v>
      </c>
      <c r="G123" s="20"/>
      <c r="H123" s="20">
        <f t="shared" si="5"/>
        <v>0.83799999999999997</v>
      </c>
      <c r="I123" s="20">
        <f t="shared" si="6"/>
        <v>0.86499999999999999</v>
      </c>
      <c r="J123" s="20">
        <f t="shared" si="7"/>
        <v>6.1728395061728394</v>
      </c>
      <c r="K123" s="20">
        <f t="shared" si="8"/>
        <v>7.4074074074074074</v>
      </c>
      <c r="L123" s="20"/>
    </row>
    <row r="124" spans="1:12">
      <c r="A124" s="17" t="s">
        <v>317</v>
      </c>
      <c r="B124" s="17"/>
      <c r="C124" s="18">
        <v>25</v>
      </c>
      <c r="D124" s="19">
        <f t="shared" si="10"/>
        <v>45</v>
      </c>
      <c r="E124" s="19" t="s">
        <v>193</v>
      </c>
      <c r="F124" s="20">
        <v>16.2</v>
      </c>
      <c r="G124" s="20"/>
      <c r="H124" s="20">
        <f t="shared" si="5"/>
        <v>0.35200000000000004</v>
      </c>
      <c r="I124" s="20">
        <f t="shared" si="6"/>
        <v>0.64</v>
      </c>
      <c r="J124" s="20">
        <f t="shared" si="7"/>
        <v>1.5432098765432098</v>
      </c>
      <c r="K124" s="20">
        <f t="shared" si="8"/>
        <v>2.7777777777777777</v>
      </c>
      <c r="L124" s="20"/>
    </row>
    <row r="125" spans="1:12">
      <c r="A125" s="17" t="s">
        <v>318</v>
      </c>
      <c r="B125" s="17"/>
      <c r="C125" s="18">
        <v>100</v>
      </c>
      <c r="D125" s="19">
        <f t="shared" si="10"/>
        <v>120</v>
      </c>
      <c r="E125" s="19" t="s">
        <v>193</v>
      </c>
      <c r="F125" s="20">
        <v>16.2</v>
      </c>
      <c r="G125" s="20"/>
      <c r="H125" s="20">
        <f t="shared" si="5"/>
        <v>0.83799999999999997</v>
      </c>
      <c r="I125" s="20">
        <f t="shared" si="6"/>
        <v>0.86499999999999999</v>
      </c>
      <c r="J125" s="20">
        <f t="shared" si="7"/>
        <v>6.1728395061728394</v>
      </c>
      <c r="K125" s="20">
        <f t="shared" si="8"/>
        <v>7.4074074074074074</v>
      </c>
      <c r="L125" s="20"/>
    </row>
    <row r="126" spans="1:12">
      <c r="A126" s="17" t="s">
        <v>319</v>
      </c>
      <c r="B126" s="17"/>
      <c r="C126" s="18">
        <v>75</v>
      </c>
      <c r="D126" s="19">
        <f t="shared" si="10"/>
        <v>95</v>
      </c>
      <c r="E126" s="19" t="s">
        <v>193</v>
      </c>
      <c r="F126" s="20">
        <v>16.2</v>
      </c>
      <c r="G126" s="20"/>
      <c r="H126" s="20">
        <f t="shared" si="5"/>
        <v>0.78399999999999992</v>
      </c>
      <c r="I126" s="20">
        <f t="shared" si="6"/>
        <v>0.82947368421052625</v>
      </c>
      <c r="J126" s="20">
        <f t="shared" si="7"/>
        <v>4.6296296296296298</v>
      </c>
      <c r="K126" s="20">
        <f t="shared" si="8"/>
        <v>5.8641975308641978</v>
      </c>
      <c r="L126" s="20"/>
    </row>
    <row r="127" spans="1:12" ht="15.75">
      <c r="A127" s="21" t="s">
        <v>320</v>
      </c>
      <c r="B127" s="21"/>
      <c r="C127" s="18"/>
      <c r="D127" s="19"/>
      <c r="E127" s="19"/>
      <c r="F127" s="19"/>
      <c r="G127" s="19"/>
      <c r="H127" s="20" t="e">
        <f t="shared" si="5"/>
        <v>#DIV/0!</v>
      </c>
      <c r="I127" s="20" t="e">
        <f t="shared" si="6"/>
        <v>#DIV/0!</v>
      </c>
      <c r="J127" s="20" t="e">
        <f t="shared" si="7"/>
        <v>#DIV/0!</v>
      </c>
      <c r="K127" s="20" t="e">
        <f t="shared" si="8"/>
        <v>#DIV/0!</v>
      </c>
      <c r="L127" s="20"/>
    </row>
    <row r="128" spans="1:12">
      <c r="A128" s="17" t="s">
        <v>181</v>
      </c>
      <c r="B128" s="17"/>
      <c r="C128" s="18">
        <v>70</v>
      </c>
      <c r="D128" s="19">
        <f t="shared" si="10"/>
        <v>90</v>
      </c>
      <c r="E128" s="19" t="s">
        <v>193</v>
      </c>
      <c r="F128" s="20">
        <v>16.2</v>
      </c>
      <c r="G128" s="20"/>
      <c r="H128" s="20">
        <f t="shared" si="5"/>
        <v>0.76857142857142857</v>
      </c>
      <c r="I128" s="20">
        <f t="shared" si="6"/>
        <v>0.82</v>
      </c>
      <c r="J128" s="20">
        <f t="shared" si="7"/>
        <v>4.3209876543209882</v>
      </c>
      <c r="K128" s="20">
        <f t="shared" si="8"/>
        <v>5.5555555555555554</v>
      </c>
      <c r="L128" s="20"/>
    </row>
    <row r="129" spans="1:12">
      <c r="A129" s="17" t="s">
        <v>321</v>
      </c>
      <c r="B129" s="17"/>
      <c r="C129" s="18">
        <v>45</v>
      </c>
      <c r="D129" s="19">
        <f t="shared" si="10"/>
        <v>65</v>
      </c>
      <c r="E129" s="19" t="s">
        <v>193</v>
      </c>
      <c r="F129" s="20">
        <v>16.2</v>
      </c>
      <c r="G129" s="20"/>
      <c r="H129" s="20">
        <f t="shared" si="5"/>
        <v>0.64</v>
      </c>
      <c r="I129" s="20">
        <f t="shared" si="6"/>
        <v>0.75076923076923074</v>
      </c>
      <c r="J129" s="20">
        <f t="shared" si="7"/>
        <v>2.7777777777777777</v>
      </c>
      <c r="K129" s="20">
        <f t="shared" si="8"/>
        <v>4.0123456790123457</v>
      </c>
      <c r="L129" s="20"/>
    </row>
    <row r="130" spans="1:12">
      <c r="A130" s="17" t="s">
        <v>187</v>
      </c>
      <c r="B130" s="17"/>
      <c r="C130" s="18">
        <v>10</v>
      </c>
      <c r="D130" s="19">
        <f t="shared" si="10"/>
        <v>30</v>
      </c>
      <c r="E130" s="19" t="s">
        <v>193</v>
      </c>
      <c r="F130" s="20">
        <v>16.2</v>
      </c>
      <c r="G130" s="20"/>
      <c r="H130" s="20">
        <f t="shared" si="5"/>
        <v>-0.61999999999999988</v>
      </c>
      <c r="I130" s="20">
        <f t="shared" si="6"/>
        <v>0.46</v>
      </c>
      <c r="J130" s="20">
        <f t="shared" si="7"/>
        <v>0.61728395061728403</v>
      </c>
      <c r="K130" s="20">
        <f t="shared" si="8"/>
        <v>1.8518518518518519</v>
      </c>
      <c r="L130" s="20"/>
    </row>
    <row r="131" spans="1:12" ht="15.75">
      <c r="A131" s="16" t="s">
        <v>322</v>
      </c>
      <c r="B131" s="16"/>
      <c r="C131" s="18"/>
      <c r="D131" s="19"/>
      <c r="E131" s="19"/>
      <c r="F131" s="19"/>
      <c r="G131" s="19"/>
      <c r="H131" s="20" t="e">
        <f t="shared" si="5"/>
        <v>#DIV/0!</v>
      </c>
      <c r="I131" s="20" t="e">
        <f t="shared" si="6"/>
        <v>#DIV/0!</v>
      </c>
      <c r="J131" s="20" t="e">
        <f t="shared" si="7"/>
        <v>#DIV/0!</v>
      </c>
      <c r="K131" s="20" t="e">
        <f t="shared" si="8"/>
        <v>#DIV/0!</v>
      </c>
      <c r="L131" s="20"/>
    </row>
    <row r="132" spans="1:12">
      <c r="A132" s="17" t="s">
        <v>323</v>
      </c>
      <c r="B132" s="17"/>
      <c r="C132" s="18">
        <v>200</v>
      </c>
      <c r="D132" s="19">
        <f t="shared" si="10"/>
        <v>220</v>
      </c>
      <c r="E132" s="19" t="s">
        <v>324</v>
      </c>
      <c r="F132" s="20">
        <v>21.4</v>
      </c>
      <c r="G132" s="20"/>
      <c r="H132" s="20">
        <f t="shared" ref="H132:H195" si="11">(C132-F132)/C132</f>
        <v>0.89300000000000002</v>
      </c>
      <c r="I132" s="20">
        <f t="shared" ref="I132:I195" si="12">(D132-F132)/D132</f>
        <v>0.90272727272727271</v>
      </c>
      <c r="J132" s="20">
        <f t="shared" ref="J132:J195" si="13">C132/F132</f>
        <v>9.3457943925233646</v>
      </c>
      <c r="K132" s="20">
        <f t="shared" ref="K132:K195" si="14">D132/F132</f>
        <v>10.280373831775702</v>
      </c>
      <c r="L132" s="20"/>
    </row>
    <row r="133" spans="1:12">
      <c r="A133" s="17" t="s">
        <v>325</v>
      </c>
      <c r="B133" s="17"/>
      <c r="C133" s="18">
        <v>100</v>
      </c>
      <c r="D133" s="19">
        <f t="shared" si="10"/>
        <v>120</v>
      </c>
      <c r="E133" s="19" t="s">
        <v>324</v>
      </c>
      <c r="F133" s="20">
        <v>21.4</v>
      </c>
      <c r="G133" s="20"/>
      <c r="H133" s="20">
        <f t="shared" si="11"/>
        <v>0.78599999999999992</v>
      </c>
      <c r="I133" s="20">
        <f t="shared" si="12"/>
        <v>0.82166666666666666</v>
      </c>
      <c r="J133" s="20">
        <f t="shared" si="13"/>
        <v>4.6728971962616823</v>
      </c>
      <c r="K133" s="20">
        <f t="shared" si="14"/>
        <v>5.6074766355140193</v>
      </c>
      <c r="L133" s="20"/>
    </row>
    <row r="134" spans="1:12">
      <c r="A134" s="17" t="s">
        <v>326</v>
      </c>
      <c r="B134" s="17"/>
      <c r="C134" s="18">
        <v>85</v>
      </c>
      <c r="D134" s="19">
        <f t="shared" si="10"/>
        <v>105</v>
      </c>
      <c r="E134" s="19" t="s">
        <v>327</v>
      </c>
      <c r="F134" s="20">
        <v>18.73</v>
      </c>
      <c r="G134" s="20"/>
      <c r="H134" s="20">
        <f t="shared" si="11"/>
        <v>0.77964705882352936</v>
      </c>
      <c r="I134" s="20">
        <f t="shared" si="12"/>
        <v>0.82161904761904758</v>
      </c>
      <c r="J134" s="20">
        <f t="shared" si="13"/>
        <v>4.5381740523224776</v>
      </c>
      <c r="K134" s="20">
        <f t="shared" si="14"/>
        <v>5.6059797116924717</v>
      </c>
      <c r="L134" s="20"/>
    </row>
    <row r="135" spans="1:12">
      <c r="A135" s="17" t="s">
        <v>328</v>
      </c>
      <c r="B135" s="17"/>
      <c r="C135" s="18">
        <v>40</v>
      </c>
      <c r="D135" s="19">
        <f t="shared" si="10"/>
        <v>60</v>
      </c>
      <c r="E135" s="19" t="s">
        <v>327</v>
      </c>
      <c r="F135" s="20">
        <v>18.73</v>
      </c>
      <c r="G135" s="20"/>
      <c r="H135" s="20">
        <f t="shared" si="11"/>
        <v>0.53174999999999994</v>
      </c>
      <c r="I135" s="20">
        <f t="shared" si="12"/>
        <v>0.6878333333333333</v>
      </c>
      <c r="J135" s="20">
        <f t="shared" si="13"/>
        <v>2.1356113187399894</v>
      </c>
      <c r="K135" s="20">
        <f t="shared" si="14"/>
        <v>3.2034169781099839</v>
      </c>
      <c r="L135" s="20"/>
    </row>
    <row r="136" spans="1:12">
      <c r="A136" s="17" t="s">
        <v>329</v>
      </c>
      <c r="B136" s="17"/>
      <c r="C136" s="18">
        <v>50</v>
      </c>
      <c r="D136" s="19">
        <f t="shared" si="10"/>
        <v>70</v>
      </c>
      <c r="E136" s="19" t="s">
        <v>330</v>
      </c>
      <c r="F136" s="20">
        <v>18.38</v>
      </c>
      <c r="G136" s="20"/>
      <c r="H136" s="20">
        <f t="shared" si="11"/>
        <v>0.63240000000000007</v>
      </c>
      <c r="I136" s="20">
        <f t="shared" si="12"/>
        <v>0.73742857142857154</v>
      </c>
      <c r="J136" s="20">
        <f t="shared" si="13"/>
        <v>2.7203482045701852</v>
      </c>
      <c r="K136" s="20">
        <f t="shared" si="14"/>
        <v>3.8084874863982594</v>
      </c>
      <c r="L136" s="20"/>
    </row>
    <row r="137" spans="1:12">
      <c r="A137" s="17" t="s">
        <v>331</v>
      </c>
      <c r="B137" s="17"/>
      <c r="C137" s="18">
        <v>25</v>
      </c>
      <c r="D137" s="19">
        <f t="shared" si="10"/>
        <v>45</v>
      </c>
      <c r="E137" s="19" t="s">
        <v>330</v>
      </c>
      <c r="F137" s="20">
        <v>18.38</v>
      </c>
      <c r="G137" s="20"/>
      <c r="H137" s="20">
        <f t="shared" si="11"/>
        <v>0.26480000000000004</v>
      </c>
      <c r="I137" s="20">
        <f t="shared" si="12"/>
        <v>0.59155555555555561</v>
      </c>
      <c r="J137" s="20">
        <f t="shared" si="13"/>
        <v>1.3601741022850926</v>
      </c>
      <c r="K137" s="20">
        <f t="shared" si="14"/>
        <v>2.4483133841131668</v>
      </c>
      <c r="L137" s="20"/>
    </row>
    <row r="138" spans="1:12">
      <c r="A138" s="17" t="s">
        <v>332</v>
      </c>
      <c r="B138" s="17"/>
      <c r="C138" s="18" t="s">
        <v>333</v>
      </c>
      <c r="D138" s="23" t="s">
        <v>334</v>
      </c>
      <c r="E138" s="23"/>
      <c r="F138" s="23"/>
      <c r="G138" s="23"/>
      <c r="H138" s="20" t="e">
        <f t="shared" si="11"/>
        <v>#VALUE!</v>
      </c>
      <c r="I138" s="20" t="e">
        <f t="shared" si="12"/>
        <v>#VALUE!</v>
      </c>
      <c r="J138" s="20" t="e">
        <f t="shared" si="13"/>
        <v>#VALUE!</v>
      </c>
      <c r="K138" s="20" t="e">
        <f t="shared" si="14"/>
        <v>#VALUE!</v>
      </c>
      <c r="L138" s="20"/>
    </row>
    <row r="139" spans="1:12">
      <c r="A139" s="17" t="s">
        <v>335</v>
      </c>
      <c r="B139" s="17"/>
      <c r="C139" s="18" t="s">
        <v>333</v>
      </c>
      <c r="D139" s="23" t="s">
        <v>334</v>
      </c>
      <c r="E139" s="23"/>
      <c r="F139" s="23"/>
      <c r="G139" s="23"/>
      <c r="H139" s="20" t="e">
        <f t="shared" si="11"/>
        <v>#VALUE!</v>
      </c>
      <c r="I139" s="20" t="e">
        <f t="shared" si="12"/>
        <v>#VALUE!</v>
      </c>
      <c r="J139" s="20" t="e">
        <f t="shared" si="13"/>
        <v>#VALUE!</v>
      </c>
      <c r="K139" s="20" t="e">
        <f t="shared" si="14"/>
        <v>#VALUE!</v>
      </c>
      <c r="L139" s="20"/>
    </row>
    <row r="140" spans="1:12">
      <c r="A140" s="17" t="s">
        <v>336</v>
      </c>
      <c r="B140" s="17"/>
      <c r="C140" s="18">
        <v>60</v>
      </c>
      <c r="D140" s="19">
        <v>80</v>
      </c>
      <c r="E140" s="19"/>
      <c r="F140" s="19"/>
      <c r="G140" s="19"/>
      <c r="H140" s="20">
        <f t="shared" si="11"/>
        <v>1</v>
      </c>
      <c r="I140" s="20">
        <f t="shared" si="12"/>
        <v>1</v>
      </c>
      <c r="J140" s="20" t="e">
        <f t="shared" si="13"/>
        <v>#DIV/0!</v>
      </c>
      <c r="K140" s="20" t="e">
        <f t="shared" si="14"/>
        <v>#DIV/0!</v>
      </c>
      <c r="L140" s="20"/>
    </row>
    <row r="141" spans="1:12" ht="15.75">
      <c r="A141" s="16" t="s">
        <v>337</v>
      </c>
      <c r="B141" s="16"/>
      <c r="C141" s="18"/>
      <c r="D141" s="19"/>
      <c r="E141" s="19"/>
      <c r="F141" s="19"/>
      <c r="G141" s="19"/>
      <c r="H141" s="20" t="e">
        <f t="shared" si="11"/>
        <v>#DIV/0!</v>
      </c>
      <c r="I141" s="20" t="e">
        <f t="shared" si="12"/>
        <v>#DIV/0!</v>
      </c>
      <c r="J141" s="20" t="e">
        <f t="shared" si="13"/>
        <v>#DIV/0!</v>
      </c>
      <c r="K141" s="20" t="e">
        <f t="shared" si="14"/>
        <v>#DIV/0!</v>
      </c>
      <c r="L141" s="20"/>
    </row>
    <row r="142" spans="1:12">
      <c r="A142" s="17" t="s">
        <v>338</v>
      </c>
      <c r="B142" s="17"/>
      <c r="C142" s="18">
        <v>40</v>
      </c>
      <c r="D142" s="19">
        <f>C142+20</f>
        <v>60</v>
      </c>
      <c r="E142" s="19"/>
      <c r="F142" s="19"/>
      <c r="G142" s="19"/>
      <c r="H142" s="20">
        <f t="shared" si="11"/>
        <v>1</v>
      </c>
      <c r="I142" s="20">
        <f t="shared" si="12"/>
        <v>1</v>
      </c>
      <c r="J142" s="20" t="e">
        <f t="shared" si="13"/>
        <v>#DIV/0!</v>
      </c>
      <c r="K142" s="20" t="e">
        <f t="shared" si="14"/>
        <v>#DIV/0!</v>
      </c>
      <c r="L142" s="20"/>
    </row>
    <row r="143" spans="1:12">
      <c r="A143" s="17" t="s">
        <v>177</v>
      </c>
      <c r="B143" s="17"/>
      <c r="C143" s="18">
        <v>80</v>
      </c>
      <c r="D143" s="19">
        <f t="shared" ref="D143:D205" si="15">C143+20</f>
        <v>100</v>
      </c>
      <c r="E143" s="19"/>
      <c r="F143" s="19"/>
      <c r="G143" s="19"/>
      <c r="H143" s="20">
        <f t="shared" si="11"/>
        <v>1</v>
      </c>
      <c r="I143" s="20">
        <f t="shared" si="12"/>
        <v>1</v>
      </c>
      <c r="J143" s="20" t="e">
        <f t="shared" si="13"/>
        <v>#DIV/0!</v>
      </c>
      <c r="K143" s="20" t="e">
        <f t="shared" si="14"/>
        <v>#DIV/0!</v>
      </c>
      <c r="L143" s="20"/>
    </row>
    <row r="144" spans="1:12">
      <c r="A144" s="17" t="s">
        <v>178</v>
      </c>
      <c r="B144" s="17"/>
      <c r="C144" s="18">
        <v>55</v>
      </c>
      <c r="D144" s="19">
        <f t="shared" si="15"/>
        <v>75</v>
      </c>
      <c r="E144" s="19"/>
      <c r="F144" s="19"/>
      <c r="G144" s="19"/>
      <c r="H144" s="20">
        <f t="shared" si="11"/>
        <v>1</v>
      </c>
      <c r="I144" s="20">
        <f t="shared" si="12"/>
        <v>1</v>
      </c>
      <c r="J144" s="20" t="e">
        <f t="shared" si="13"/>
        <v>#DIV/0!</v>
      </c>
      <c r="K144" s="20" t="e">
        <f t="shared" si="14"/>
        <v>#DIV/0!</v>
      </c>
      <c r="L144" s="20"/>
    </row>
    <row r="145" spans="1:12" ht="15.75">
      <c r="A145" s="16" t="s">
        <v>339</v>
      </c>
      <c r="B145" s="16"/>
      <c r="C145" s="18"/>
      <c r="D145" s="19"/>
      <c r="E145" s="19"/>
      <c r="F145" s="19"/>
      <c r="G145" s="19"/>
      <c r="H145" s="20" t="e">
        <f t="shared" si="11"/>
        <v>#DIV/0!</v>
      </c>
      <c r="I145" s="20" t="e">
        <f t="shared" si="12"/>
        <v>#DIV/0!</v>
      </c>
      <c r="J145" s="20" t="e">
        <f t="shared" si="13"/>
        <v>#DIV/0!</v>
      </c>
      <c r="K145" s="20" t="e">
        <f t="shared" si="14"/>
        <v>#DIV/0!</v>
      </c>
      <c r="L145" s="20"/>
    </row>
    <row r="146" spans="1:12">
      <c r="A146" s="17" t="s">
        <v>181</v>
      </c>
      <c r="B146" s="17"/>
      <c r="C146" s="18">
        <v>50</v>
      </c>
      <c r="D146" s="19">
        <f t="shared" si="15"/>
        <v>70</v>
      </c>
      <c r="E146" s="19" t="s">
        <v>340</v>
      </c>
      <c r="F146" s="20">
        <v>19.43</v>
      </c>
      <c r="G146" s="20"/>
      <c r="H146" s="20">
        <f t="shared" si="11"/>
        <v>0.61140000000000005</v>
      </c>
      <c r="I146" s="20">
        <f t="shared" si="12"/>
        <v>0.72242857142857142</v>
      </c>
      <c r="J146" s="20">
        <f t="shared" si="13"/>
        <v>2.5733401955738548</v>
      </c>
      <c r="K146" s="20">
        <f t="shared" si="14"/>
        <v>3.6026762738033971</v>
      </c>
      <c r="L146" s="20"/>
    </row>
    <row r="147" spans="1:12">
      <c r="A147" s="17" t="s">
        <v>341</v>
      </c>
      <c r="B147" s="17"/>
      <c r="C147" s="18">
        <v>55</v>
      </c>
      <c r="D147" s="19">
        <f t="shared" si="15"/>
        <v>75</v>
      </c>
      <c r="E147" s="19" t="s">
        <v>342</v>
      </c>
      <c r="F147" s="20">
        <v>20.239999999999998</v>
      </c>
      <c r="G147" s="20"/>
      <c r="H147" s="20">
        <f t="shared" si="11"/>
        <v>0.63200000000000012</v>
      </c>
      <c r="I147" s="20">
        <f t="shared" si="12"/>
        <v>0.73013333333333341</v>
      </c>
      <c r="J147" s="20">
        <f t="shared" si="13"/>
        <v>2.7173913043478262</v>
      </c>
      <c r="K147" s="20">
        <f t="shared" si="14"/>
        <v>3.7055335968379448</v>
      </c>
      <c r="L147" s="20"/>
    </row>
    <row r="148" spans="1:12">
      <c r="A148" s="17" t="s">
        <v>343</v>
      </c>
      <c r="B148" s="17"/>
      <c r="C148" s="18">
        <v>40</v>
      </c>
      <c r="D148" s="19">
        <f t="shared" si="15"/>
        <v>60</v>
      </c>
      <c r="E148" s="19" t="s">
        <v>340</v>
      </c>
      <c r="F148" s="20">
        <v>19.43</v>
      </c>
      <c r="G148" s="20"/>
      <c r="H148" s="20">
        <f t="shared" si="11"/>
        <v>0.51424999999999998</v>
      </c>
      <c r="I148" s="20">
        <f t="shared" si="12"/>
        <v>0.67616666666666669</v>
      </c>
      <c r="J148" s="20">
        <f t="shared" si="13"/>
        <v>2.058672156459084</v>
      </c>
      <c r="K148" s="20">
        <f t="shared" si="14"/>
        <v>3.0880082346886257</v>
      </c>
      <c r="L148" s="20"/>
    </row>
    <row r="149" spans="1:12">
      <c r="A149" s="17" t="s">
        <v>344</v>
      </c>
      <c r="B149" s="17"/>
      <c r="C149" s="18">
        <v>30</v>
      </c>
      <c r="D149" s="19">
        <f t="shared" si="15"/>
        <v>50</v>
      </c>
      <c r="E149" s="19" t="s">
        <v>345</v>
      </c>
      <c r="F149" s="20">
        <v>18.36</v>
      </c>
      <c r="G149" s="20"/>
      <c r="H149" s="20">
        <f t="shared" si="11"/>
        <v>0.38800000000000001</v>
      </c>
      <c r="I149" s="20">
        <f t="shared" si="12"/>
        <v>0.63280000000000003</v>
      </c>
      <c r="J149" s="20">
        <f t="shared" si="13"/>
        <v>1.6339869281045751</v>
      </c>
      <c r="K149" s="20">
        <f t="shared" si="14"/>
        <v>2.7233115468409586</v>
      </c>
      <c r="L149" s="20"/>
    </row>
    <row r="150" spans="1:12">
      <c r="A150" s="17" t="s">
        <v>346</v>
      </c>
      <c r="B150" s="17"/>
      <c r="C150" s="18">
        <v>25</v>
      </c>
      <c r="D150" s="19">
        <f t="shared" si="15"/>
        <v>45</v>
      </c>
      <c r="E150" s="19" t="s">
        <v>347</v>
      </c>
      <c r="F150" s="20">
        <v>16.47</v>
      </c>
      <c r="G150" s="20"/>
      <c r="H150" s="20">
        <f t="shared" si="11"/>
        <v>0.34120000000000006</v>
      </c>
      <c r="I150" s="20">
        <f t="shared" si="12"/>
        <v>0.63400000000000001</v>
      </c>
      <c r="J150" s="20">
        <f t="shared" si="13"/>
        <v>1.5179113539769278</v>
      </c>
      <c r="K150" s="20">
        <f t="shared" si="14"/>
        <v>2.7322404371584703</v>
      </c>
      <c r="L150" s="20"/>
    </row>
    <row r="151" spans="1:12">
      <c r="A151" s="17" t="s">
        <v>348</v>
      </c>
      <c r="B151" s="17"/>
      <c r="C151" s="18">
        <v>40</v>
      </c>
      <c r="D151" s="19">
        <f t="shared" si="15"/>
        <v>60</v>
      </c>
      <c r="E151" s="19" t="s">
        <v>193</v>
      </c>
      <c r="F151" s="19"/>
      <c r="G151" s="19"/>
      <c r="H151" s="20">
        <f t="shared" si="11"/>
        <v>1</v>
      </c>
      <c r="I151" s="20">
        <f t="shared" si="12"/>
        <v>1</v>
      </c>
      <c r="J151" s="20" t="e">
        <f t="shared" si="13"/>
        <v>#DIV/0!</v>
      </c>
      <c r="K151" s="20" t="e">
        <f t="shared" si="14"/>
        <v>#DIV/0!</v>
      </c>
      <c r="L151" s="20"/>
    </row>
    <row r="152" spans="1:12" ht="15.75">
      <c r="A152" s="16" t="s">
        <v>349</v>
      </c>
      <c r="B152" s="16"/>
      <c r="C152" s="18"/>
      <c r="D152" s="19"/>
      <c r="E152" s="19"/>
      <c r="F152" s="19"/>
      <c r="G152" s="19"/>
      <c r="H152" s="20" t="e">
        <f t="shared" si="11"/>
        <v>#DIV/0!</v>
      </c>
      <c r="I152" s="20" t="e">
        <f t="shared" si="12"/>
        <v>#DIV/0!</v>
      </c>
      <c r="J152" s="20" t="e">
        <f t="shared" si="13"/>
        <v>#DIV/0!</v>
      </c>
      <c r="K152" s="20" t="e">
        <f t="shared" si="14"/>
        <v>#DIV/0!</v>
      </c>
      <c r="L152" s="20"/>
    </row>
    <row r="153" spans="1:12">
      <c r="A153" s="17" t="s">
        <v>350</v>
      </c>
      <c r="B153" s="17"/>
      <c r="C153" s="18">
        <v>40</v>
      </c>
      <c r="D153" s="19">
        <f t="shared" si="15"/>
        <v>60</v>
      </c>
      <c r="E153" s="19"/>
      <c r="F153" s="19"/>
      <c r="G153" s="19"/>
      <c r="H153" s="20">
        <f t="shared" si="11"/>
        <v>1</v>
      </c>
      <c r="I153" s="20">
        <f t="shared" si="12"/>
        <v>1</v>
      </c>
      <c r="J153" s="20" t="e">
        <f t="shared" si="13"/>
        <v>#DIV/0!</v>
      </c>
      <c r="K153" s="20" t="e">
        <f t="shared" si="14"/>
        <v>#DIV/0!</v>
      </c>
      <c r="L153" s="20"/>
    </row>
    <row r="154" spans="1:12">
      <c r="A154" s="17" t="s">
        <v>187</v>
      </c>
      <c r="B154" s="17"/>
      <c r="C154" s="18">
        <v>20</v>
      </c>
      <c r="D154" s="19">
        <f t="shared" si="15"/>
        <v>40</v>
      </c>
      <c r="E154" s="19"/>
      <c r="F154" s="19"/>
      <c r="G154" s="19"/>
      <c r="H154" s="20">
        <f t="shared" si="11"/>
        <v>1</v>
      </c>
      <c r="I154" s="20">
        <f t="shared" si="12"/>
        <v>1</v>
      </c>
      <c r="J154" s="20" t="e">
        <f t="shared" si="13"/>
        <v>#DIV/0!</v>
      </c>
      <c r="K154" s="20" t="e">
        <f t="shared" si="14"/>
        <v>#DIV/0!</v>
      </c>
      <c r="L154" s="20"/>
    </row>
    <row r="155" spans="1:12">
      <c r="A155" s="17" t="s">
        <v>215</v>
      </c>
      <c r="B155" s="17"/>
      <c r="C155" s="18">
        <v>60</v>
      </c>
      <c r="D155" s="19">
        <f t="shared" si="15"/>
        <v>80</v>
      </c>
      <c r="E155" s="19"/>
      <c r="F155" s="19"/>
      <c r="G155" s="19"/>
      <c r="H155" s="20">
        <f t="shared" si="11"/>
        <v>1</v>
      </c>
      <c r="I155" s="20">
        <f t="shared" si="12"/>
        <v>1</v>
      </c>
      <c r="J155" s="20" t="e">
        <f t="shared" si="13"/>
        <v>#DIV/0!</v>
      </c>
      <c r="K155" s="20" t="e">
        <f t="shared" si="14"/>
        <v>#DIV/0!</v>
      </c>
      <c r="L155" s="20"/>
    </row>
    <row r="156" spans="1:12">
      <c r="A156" s="17" t="s">
        <v>217</v>
      </c>
      <c r="B156" s="17"/>
      <c r="C156" s="18">
        <v>25</v>
      </c>
      <c r="D156" s="19">
        <f t="shared" si="15"/>
        <v>45</v>
      </c>
      <c r="E156" s="19"/>
      <c r="F156" s="19"/>
      <c r="G156" s="19"/>
      <c r="H156" s="20">
        <f t="shared" si="11"/>
        <v>1</v>
      </c>
      <c r="I156" s="20">
        <f t="shared" si="12"/>
        <v>1</v>
      </c>
      <c r="J156" s="20" t="e">
        <f t="shared" si="13"/>
        <v>#DIV/0!</v>
      </c>
      <c r="K156" s="20" t="e">
        <f t="shared" si="14"/>
        <v>#DIV/0!</v>
      </c>
      <c r="L156" s="20"/>
    </row>
    <row r="157" spans="1:12" ht="15.75">
      <c r="A157" s="16" t="s">
        <v>351</v>
      </c>
      <c r="B157" s="16"/>
      <c r="C157" s="18"/>
      <c r="D157" s="19"/>
      <c r="E157" s="19"/>
      <c r="F157" s="19"/>
      <c r="G157" s="19"/>
      <c r="H157" s="20" t="e">
        <f t="shared" si="11"/>
        <v>#DIV/0!</v>
      </c>
      <c r="I157" s="20" t="e">
        <f t="shared" si="12"/>
        <v>#DIV/0!</v>
      </c>
      <c r="J157" s="20" t="e">
        <f t="shared" si="13"/>
        <v>#DIV/0!</v>
      </c>
      <c r="K157" s="20" t="e">
        <f t="shared" si="14"/>
        <v>#DIV/0!</v>
      </c>
      <c r="L157" s="20"/>
    </row>
    <row r="158" spans="1:12">
      <c r="A158" s="17" t="s">
        <v>352</v>
      </c>
      <c r="B158" s="17"/>
      <c r="C158" s="18">
        <v>130</v>
      </c>
      <c r="D158" s="19">
        <f t="shared" si="15"/>
        <v>150</v>
      </c>
      <c r="E158" s="19" t="s">
        <v>353</v>
      </c>
      <c r="F158" s="20">
        <v>19.39</v>
      </c>
      <c r="G158" s="20"/>
      <c r="H158" s="20">
        <f t="shared" si="11"/>
        <v>0.85084615384615381</v>
      </c>
      <c r="I158" s="20">
        <f t="shared" si="12"/>
        <v>0.87073333333333347</v>
      </c>
      <c r="J158" s="20">
        <f t="shared" si="13"/>
        <v>6.7044868488911806</v>
      </c>
      <c r="K158" s="20">
        <f t="shared" si="14"/>
        <v>7.7359463641052084</v>
      </c>
      <c r="L158" s="20"/>
    </row>
    <row r="159" spans="1:12">
      <c r="A159" s="17" t="s">
        <v>181</v>
      </c>
      <c r="B159" s="17"/>
      <c r="C159" s="18">
        <v>70</v>
      </c>
      <c r="D159" s="19">
        <f t="shared" si="15"/>
        <v>90</v>
      </c>
      <c r="E159" s="19" t="s">
        <v>354</v>
      </c>
      <c r="F159" s="20">
        <v>21.95</v>
      </c>
      <c r="G159" s="20"/>
      <c r="H159" s="20">
        <f t="shared" si="11"/>
        <v>0.68642857142857139</v>
      </c>
      <c r="I159" s="20">
        <f t="shared" si="12"/>
        <v>0.75611111111111107</v>
      </c>
      <c r="J159" s="20">
        <f t="shared" si="13"/>
        <v>3.1890660592255125</v>
      </c>
      <c r="K159" s="20">
        <f t="shared" si="14"/>
        <v>4.1002277904328022</v>
      </c>
      <c r="L159" s="20"/>
    </row>
    <row r="160" spans="1:12">
      <c r="A160" s="17" t="s">
        <v>355</v>
      </c>
      <c r="B160" s="17"/>
      <c r="C160" s="18">
        <v>65</v>
      </c>
      <c r="D160" s="19">
        <f t="shared" si="15"/>
        <v>85</v>
      </c>
      <c r="E160" s="19" t="s">
        <v>356</v>
      </c>
      <c r="F160" s="20">
        <v>18.12</v>
      </c>
      <c r="G160" s="20"/>
      <c r="H160" s="20">
        <f t="shared" si="11"/>
        <v>0.72123076923076912</v>
      </c>
      <c r="I160" s="20">
        <f t="shared" si="12"/>
        <v>0.7868235294117647</v>
      </c>
      <c r="J160" s="20">
        <f t="shared" si="13"/>
        <v>3.5871964679911699</v>
      </c>
      <c r="K160" s="20">
        <f t="shared" si="14"/>
        <v>4.6909492273730677</v>
      </c>
      <c r="L160" s="20"/>
    </row>
    <row r="161" spans="1:12" ht="15.75">
      <c r="A161" s="16" t="s">
        <v>357</v>
      </c>
      <c r="B161" s="16"/>
      <c r="C161" s="18">
        <v>35</v>
      </c>
      <c r="D161" s="19">
        <f t="shared" si="15"/>
        <v>55</v>
      </c>
      <c r="E161" s="19" t="s">
        <v>358</v>
      </c>
      <c r="F161" s="20">
        <v>16.010000000000002</v>
      </c>
      <c r="G161" s="20"/>
      <c r="H161" s="20">
        <f t="shared" si="11"/>
        <v>0.54257142857142848</v>
      </c>
      <c r="I161" s="20">
        <f t="shared" si="12"/>
        <v>0.70890909090909082</v>
      </c>
      <c r="J161" s="20">
        <f t="shared" si="13"/>
        <v>2.1861336664584634</v>
      </c>
      <c r="K161" s="20">
        <f t="shared" si="14"/>
        <v>3.435352904434728</v>
      </c>
      <c r="L161" s="20"/>
    </row>
    <row r="162" spans="1:12" ht="15.75">
      <c r="A162" s="16" t="s">
        <v>359</v>
      </c>
      <c r="B162" s="16"/>
      <c r="C162" s="18"/>
      <c r="D162" s="19"/>
      <c r="E162" s="19"/>
      <c r="F162" s="19"/>
      <c r="G162" s="19"/>
      <c r="H162" s="20" t="e">
        <f t="shared" si="11"/>
        <v>#DIV/0!</v>
      </c>
      <c r="I162" s="20" t="e">
        <f t="shared" si="12"/>
        <v>#DIV/0!</v>
      </c>
      <c r="J162" s="20" t="e">
        <f t="shared" si="13"/>
        <v>#DIV/0!</v>
      </c>
      <c r="K162" s="20" t="e">
        <f t="shared" si="14"/>
        <v>#DIV/0!</v>
      </c>
      <c r="L162" s="20"/>
    </row>
    <row r="163" spans="1:12">
      <c r="A163" s="17" t="s">
        <v>360</v>
      </c>
      <c r="B163" s="17"/>
      <c r="C163" s="18">
        <v>20</v>
      </c>
      <c r="D163" s="19">
        <f t="shared" si="15"/>
        <v>40</v>
      </c>
      <c r="E163" s="19" t="s">
        <v>175</v>
      </c>
      <c r="F163" s="20">
        <v>16.2</v>
      </c>
      <c r="G163" s="20"/>
      <c r="H163" s="20">
        <f t="shared" si="11"/>
        <v>0.19000000000000003</v>
      </c>
      <c r="I163" s="20">
        <f t="shared" si="12"/>
        <v>0.59499999999999997</v>
      </c>
      <c r="J163" s="20">
        <f t="shared" si="13"/>
        <v>1.2345679012345681</v>
      </c>
      <c r="K163" s="20">
        <f t="shared" si="14"/>
        <v>2.4691358024691361</v>
      </c>
      <c r="L163" s="20"/>
    </row>
    <row r="164" spans="1:12" ht="15.75">
      <c r="A164" s="16" t="s">
        <v>361</v>
      </c>
      <c r="B164" s="16"/>
      <c r="C164" s="18"/>
      <c r="D164" s="19"/>
      <c r="E164" s="19"/>
      <c r="F164" s="19"/>
      <c r="G164" s="19"/>
      <c r="H164" s="20" t="e">
        <f t="shared" si="11"/>
        <v>#DIV/0!</v>
      </c>
      <c r="I164" s="20" t="e">
        <f t="shared" si="12"/>
        <v>#DIV/0!</v>
      </c>
      <c r="J164" s="20" t="e">
        <f t="shared" si="13"/>
        <v>#DIV/0!</v>
      </c>
      <c r="K164" s="20" t="e">
        <f t="shared" si="14"/>
        <v>#DIV/0!</v>
      </c>
      <c r="L164" s="20"/>
    </row>
    <row r="165" spans="1:12">
      <c r="A165" s="17" t="s">
        <v>362</v>
      </c>
      <c r="B165" s="17"/>
      <c r="C165" s="18">
        <v>60</v>
      </c>
      <c r="D165" s="19">
        <f t="shared" si="15"/>
        <v>80</v>
      </c>
      <c r="E165" s="19" t="s">
        <v>363</v>
      </c>
      <c r="F165" s="20">
        <v>22.81</v>
      </c>
      <c r="G165" s="20"/>
      <c r="H165" s="20">
        <f t="shared" si="11"/>
        <v>0.61983333333333335</v>
      </c>
      <c r="I165" s="20">
        <f t="shared" si="12"/>
        <v>0.71487499999999993</v>
      </c>
      <c r="J165" s="20">
        <f t="shared" si="13"/>
        <v>2.6304252520824201</v>
      </c>
      <c r="K165" s="20">
        <f t="shared" si="14"/>
        <v>3.5072336694432269</v>
      </c>
      <c r="L165" s="20"/>
    </row>
    <row r="166" spans="1:12" ht="15.75">
      <c r="A166" s="16" t="s">
        <v>364</v>
      </c>
      <c r="B166" s="16"/>
      <c r="C166" s="18"/>
      <c r="D166" s="19"/>
      <c r="E166" s="19"/>
      <c r="F166" s="19"/>
      <c r="G166" s="19"/>
      <c r="H166" s="20" t="e">
        <f t="shared" si="11"/>
        <v>#DIV/0!</v>
      </c>
      <c r="I166" s="20" t="e">
        <f t="shared" si="12"/>
        <v>#DIV/0!</v>
      </c>
      <c r="J166" s="20" t="e">
        <f t="shared" si="13"/>
        <v>#DIV/0!</v>
      </c>
      <c r="K166" s="20" t="e">
        <f t="shared" si="14"/>
        <v>#DIV/0!</v>
      </c>
      <c r="L166" s="20"/>
    </row>
    <row r="167" spans="1:12">
      <c r="A167" s="17" t="s">
        <v>343</v>
      </c>
      <c r="B167" s="17"/>
      <c r="C167" s="18">
        <v>60</v>
      </c>
      <c r="D167" s="19">
        <f t="shared" si="15"/>
        <v>80</v>
      </c>
      <c r="E167" s="19" t="s">
        <v>365</v>
      </c>
      <c r="F167" s="20">
        <v>17.48</v>
      </c>
      <c r="G167" s="20"/>
      <c r="H167" s="20">
        <f t="shared" si="11"/>
        <v>0.70866666666666656</v>
      </c>
      <c r="I167" s="20">
        <f t="shared" si="12"/>
        <v>0.78149999999999997</v>
      </c>
      <c r="J167" s="20">
        <f t="shared" si="13"/>
        <v>3.4324942791762014</v>
      </c>
      <c r="K167" s="20">
        <f t="shared" si="14"/>
        <v>4.5766590389016013</v>
      </c>
      <c r="L167" s="20"/>
    </row>
    <row r="168" spans="1:12">
      <c r="A168" s="17" t="s">
        <v>222</v>
      </c>
      <c r="B168" s="17"/>
      <c r="C168" s="18">
        <v>40</v>
      </c>
      <c r="D168" s="19">
        <f t="shared" si="15"/>
        <v>60</v>
      </c>
      <c r="E168" s="19" t="s">
        <v>366</v>
      </c>
      <c r="F168" s="20">
        <v>16.84</v>
      </c>
      <c r="G168" s="20"/>
      <c r="H168" s="20">
        <f t="shared" si="11"/>
        <v>0.57899999999999996</v>
      </c>
      <c r="I168" s="20">
        <f t="shared" si="12"/>
        <v>0.71933333333333327</v>
      </c>
      <c r="J168" s="20">
        <f t="shared" si="13"/>
        <v>2.3752969121140142</v>
      </c>
      <c r="K168" s="20">
        <f t="shared" si="14"/>
        <v>3.5629453681710213</v>
      </c>
      <c r="L168" s="20"/>
    </row>
    <row r="169" spans="1:12">
      <c r="A169" s="17" t="s">
        <v>367</v>
      </c>
      <c r="B169" s="17"/>
      <c r="C169" s="18">
        <v>25</v>
      </c>
      <c r="D169" s="19">
        <f t="shared" si="15"/>
        <v>45</v>
      </c>
      <c r="E169" s="19" t="s">
        <v>365</v>
      </c>
      <c r="F169" s="20">
        <v>17.48</v>
      </c>
      <c r="G169" s="20"/>
      <c r="H169" s="20">
        <f t="shared" si="11"/>
        <v>0.30079999999999996</v>
      </c>
      <c r="I169" s="20">
        <f t="shared" si="12"/>
        <v>0.61155555555555552</v>
      </c>
      <c r="J169" s="20">
        <f t="shared" si="13"/>
        <v>1.4302059496567505</v>
      </c>
      <c r="K169" s="20">
        <f t="shared" si="14"/>
        <v>2.5743707093821508</v>
      </c>
      <c r="L169" s="20"/>
    </row>
    <row r="170" spans="1:12">
      <c r="A170" s="17" t="s">
        <v>217</v>
      </c>
      <c r="B170" s="17"/>
      <c r="C170" s="18">
        <v>25</v>
      </c>
      <c r="D170" s="19">
        <f t="shared" si="15"/>
        <v>45</v>
      </c>
      <c r="E170" s="19" t="s">
        <v>365</v>
      </c>
      <c r="F170" s="20">
        <v>17.48</v>
      </c>
      <c r="G170" s="20"/>
      <c r="H170" s="20">
        <f t="shared" si="11"/>
        <v>0.30079999999999996</v>
      </c>
      <c r="I170" s="20">
        <f t="shared" si="12"/>
        <v>0.61155555555555552</v>
      </c>
      <c r="J170" s="20">
        <f t="shared" si="13"/>
        <v>1.4302059496567505</v>
      </c>
      <c r="K170" s="20">
        <f t="shared" si="14"/>
        <v>2.5743707093821508</v>
      </c>
      <c r="L170" s="20"/>
    </row>
    <row r="171" spans="1:12">
      <c r="A171" s="17" t="s">
        <v>368</v>
      </c>
      <c r="B171" s="17"/>
      <c r="C171" s="18">
        <v>60</v>
      </c>
      <c r="D171" s="19">
        <f t="shared" si="15"/>
        <v>80</v>
      </c>
      <c r="E171" s="19" t="s">
        <v>366</v>
      </c>
      <c r="F171" s="20">
        <v>16.84</v>
      </c>
      <c r="G171" s="20"/>
      <c r="H171" s="20">
        <f t="shared" si="11"/>
        <v>0.71933333333333327</v>
      </c>
      <c r="I171" s="20">
        <f t="shared" si="12"/>
        <v>0.78949999999999998</v>
      </c>
      <c r="J171" s="20">
        <f t="shared" si="13"/>
        <v>3.5629453681710213</v>
      </c>
      <c r="K171" s="20">
        <f t="shared" si="14"/>
        <v>4.7505938242280283</v>
      </c>
      <c r="L171" s="20"/>
    </row>
    <row r="172" spans="1:12">
      <c r="A172" s="17" t="s">
        <v>181</v>
      </c>
      <c r="B172" s="17"/>
      <c r="C172" s="18">
        <v>50</v>
      </c>
      <c r="D172" s="19">
        <f t="shared" si="15"/>
        <v>70</v>
      </c>
      <c r="E172" s="19" t="s">
        <v>175</v>
      </c>
      <c r="F172" s="20">
        <v>16.2</v>
      </c>
      <c r="G172" s="20"/>
      <c r="H172" s="20">
        <f t="shared" si="11"/>
        <v>0.67599999999999993</v>
      </c>
      <c r="I172" s="20">
        <f t="shared" si="12"/>
        <v>0.76857142857142857</v>
      </c>
      <c r="J172" s="20">
        <f t="shared" si="13"/>
        <v>3.0864197530864197</v>
      </c>
      <c r="K172" s="20">
        <f t="shared" si="14"/>
        <v>4.3209876543209882</v>
      </c>
      <c r="L172" s="20"/>
    </row>
    <row r="173" spans="1:12">
      <c r="A173" s="17" t="s">
        <v>187</v>
      </c>
      <c r="B173" s="17"/>
      <c r="C173" s="18">
        <v>20</v>
      </c>
      <c r="D173" s="19">
        <f t="shared" si="15"/>
        <v>40</v>
      </c>
      <c r="E173" s="19" t="s">
        <v>369</v>
      </c>
      <c r="F173" s="20">
        <v>16.2</v>
      </c>
      <c r="G173" s="20"/>
      <c r="H173" s="20">
        <f t="shared" si="11"/>
        <v>0.19000000000000003</v>
      </c>
      <c r="I173" s="20">
        <f t="shared" si="12"/>
        <v>0.59499999999999997</v>
      </c>
      <c r="J173" s="20">
        <f t="shared" si="13"/>
        <v>1.2345679012345681</v>
      </c>
      <c r="K173" s="20">
        <f t="shared" si="14"/>
        <v>2.4691358024691361</v>
      </c>
      <c r="L173" s="20"/>
    </row>
    <row r="174" spans="1:12">
      <c r="A174" s="17" t="s">
        <v>370</v>
      </c>
      <c r="B174" s="17"/>
      <c r="C174" s="18">
        <v>25</v>
      </c>
      <c r="D174" s="19">
        <f t="shared" si="15"/>
        <v>45</v>
      </c>
      <c r="E174" s="19" t="s">
        <v>175</v>
      </c>
      <c r="F174" s="20">
        <v>16.2</v>
      </c>
      <c r="G174" s="20"/>
      <c r="H174" s="20">
        <f t="shared" si="11"/>
        <v>0.35200000000000004</v>
      </c>
      <c r="I174" s="20">
        <f t="shared" si="12"/>
        <v>0.64</v>
      </c>
      <c r="J174" s="20">
        <f t="shared" si="13"/>
        <v>1.5432098765432098</v>
      </c>
      <c r="K174" s="20">
        <f t="shared" si="14"/>
        <v>2.7777777777777777</v>
      </c>
      <c r="L174" s="20"/>
    </row>
    <row r="175" spans="1:12">
      <c r="A175" s="17" t="s">
        <v>371</v>
      </c>
      <c r="B175" s="17"/>
      <c r="C175" s="18">
        <v>30</v>
      </c>
      <c r="D175" s="19">
        <f t="shared" si="15"/>
        <v>50</v>
      </c>
      <c r="E175" s="19" t="s">
        <v>175</v>
      </c>
      <c r="F175" s="20">
        <v>16.2</v>
      </c>
      <c r="G175" s="20"/>
      <c r="H175" s="20">
        <f t="shared" si="11"/>
        <v>0.46</v>
      </c>
      <c r="I175" s="20">
        <f t="shared" si="12"/>
        <v>0.67599999999999993</v>
      </c>
      <c r="J175" s="20">
        <f t="shared" si="13"/>
        <v>1.8518518518518519</v>
      </c>
      <c r="K175" s="20">
        <f t="shared" si="14"/>
        <v>3.0864197530864197</v>
      </c>
      <c r="L175" s="20"/>
    </row>
    <row r="176" spans="1:12" ht="15.75">
      <c r="A176" s="16" t="s">
        <v>372</v>
      </c>
      <c r="B176" s="16"/>
      <c r="C176" s="18"/>
      <c r="D176" s="19"/>
      <c r="E176" s="19"/>
      <c r="F176" s="19"/>
      <c r="G176" s="19"/>
      <c r="H176" s="20" t="e">
        <f t="shared" si="11"/>
        <v>#DIV/0!</v>
      </c>
      <c r="I176" s="20" t="e">
        <f t="shared" si="12"/>
        <v>#DIV/0!</v>
      </c>
      <c r="J176" s="20" t="e">
        <f t="shared" si="13"/>
        <v>#DIV/0!</v>
      </c>
      <c r="K176" s="20" t="e">
        <f t="shared" si="14"/>
        <v>#DIV/0!</v>
      </c>
      <c r="L176" s="20"/>
    </row>
    <row r="177" spans="1:12">
      <c r="A177" s="17" t="s">
        <v>181</v>
      </c>
      <c r="B177" s="17"/>
      <c r="C177" s="18">
        <v>70</v>
      </c>
      <c r="D177" s="19">
        <f t="shared" si="15"/>
        <v>90</v>
      </c>
      <c r="E177" s="19" t="s">
        <v>373</v>
      </c>
      <c r="F177" s="20">
        <v>25.49</v>
      </c>
      <c r="G177" s="20"/>
      <c r="H177" s="20">
        <f t="shared" si="11"/>
        <v>0.6358571428571429</v>
      </c>
      <c r="I177" s="20">
        <f t="shared" si="12"/>
        <v>0.71677777777777785</v>
      </c>
      <c r="J177" s="20">
        <f t="shared" si="13"/>
        <v>2.7461749705766971</v>
      </c>
      <c r="K177" s="20">
        <f t="shared" si="14"/>
        <v>3.5307963907414677</v>
      </c>
      <c r="L177" s="20"/>
    </row>
    <row r="178" spans="1:12">
      <c r="A178" s="17" t="s">
        <v>313</v>
      </c>
      <c r="B178" s="17"/>
      <c r="C178" s="18">
        <v>105</v>
      </c>
      <c r="D178" s="19">
        <f t="shared" si="15"/>
        <v>125</v>
      </c>
      <c r="E178" s="19" t="s">
        <v>374</v>
      </c>
      <c r="F178" s="20">
        <v>21.77</v>
      </c>
      <c r="G178" s="20"/>
      <c r="H178" s="20">
        <f t="shared" si="11"/>
        <v>0.79266666666666674</v>
      </c>
      <c r="I178" s="20">
        <f t="shared" si="12"/>
        <v>0.82584000000000002</v>
      </c>
      <c r="J178" s="20">
        <f t="shared" si="13"/>
        <v>4.823151125401929</v>
      </c>
      <c r="K178" s="20">
        <f t="shared" si="14"/>
        <v>5.7418465778594401</v>
      </c>
      <c r="L178" s="20"/>
    </row>
    <row r="179" spans="1:12">
      <c r="A179" s="17" t="s">
        <v>375</v>
      </c>
      <c r="B179" s="17"/>
      <c r="C179" s="18">
        <v>30</v>
      </c>
      <c r="D179" s="19">
        <f t="shared" si="15"/>
        <v>50</v>
      </c>
      <c r="E179" s="19" t="s">
        <v>376</v>
      </c>
      <c r="F179" s="20">
        <v>18.059999999999999</v>
      </c>
      <c r="G179" s="20"/>
      <c r="H179" s="20">
        <f t="shared" si="11"/>
        <v>0.39800000000000002</v>
      </c>
      <c r="I179" s="20">
        <f t="shared" si="12"/>
        <v>0.63880000000000003</v>
      </c>
      <c r="J179" s="20">
        <f t="shared" si="13"/>
        <v>1.6611295681063125</v>
      </c>
      <c r="K179" s="20">
        <f t="shared" si="14"/>
        <v>2.7685492801771874</v>
      </c>
      <c r="L179" s="20"/>
    </row>
    <row r="180" spans="1:12">
      <c r="A180" s="17" t="s">
        <v>377</v>
      </c>
      <c r="B180" s="17"/>
      <c r="C180" s="18">
        <v>40</v>
      </c>
      <c r="D180" s="19">
        <f t="shared" si="15"/>
        <v>60</v>
      </c>
      <c r="E180" s="19" t="s">
        <v>376</v>
      </c>
      <c r="F180" s="20">
        <v>18.059999999999999</v>
      </c>
      <c r="G180" s="20"/>
      <c r="H180" s="20">
        <f t="shared" si="11"/>
        <v>0.54849999999999999</v>
      </c>
      <c r="I180" s="20">
        <f t="shared" si="12"/>
        <v>0.69899999999999995</v>
      </c>
      <c r="J180" s="20">
        <f t="shared" si="13"/>
        <v>2.2148394241417497</v>
      </c>
      <c r="K180" s="20">
        <f t="shared" si="14"/>
        <v>3.322259136212625</v>
      </c>
      <c r="L180" s="20"/>
    </row>
    <row r="181" spans="1:12">
      <c r="A181" s="17" t="s">
        <v>378</v>
      </c>
      <c r="B181" s="17"/>
      <c r="C181" s="18">
        <v>25</v>
      </c>
      <c r="D181" s="19">
        <f t="shared" si="15"/>
        <v>45</v>
      </c>
      <c r="E181" s="19" t="s">
        <v>379</v>
      </c>
      <c r="F181" s="20">
        <v>17.13</v>
      </c>
      <c r="G181" s="20"/>
      <c r="H181" s="20">
        <f t="shared" si="11"/>
        <v>0.31480000000000002</v>
      </c>
      <c r="I181" s="20">
        <f t="shared" si="12"/>
        <v>0.6193333333333334</v>
      </c>
      <c r="J181" s="20">
        <f t="shared" si="13"/>
        <v>1.4594279042615295</v>
      </c>
      <c r="K181" s="20">
        <f t="shared" si="14"/>
        <v>2.6269702276707534</v>
      </c>
      <c r="L181" s="20"/>
    </row>
    <row r="182" spans="1:12" ht="15.75">
      <c r="A182" s="16" t="s">
        <v>380</v>
      </c>
      <c r="B182" s="16"/>
      <c r="C182" s="18"/>
      <c r="D182" s="19"/>
      <c r="E182" s="19"/>
      <c r="F182" s="19"/>
      <c r="G182" s="19"/>
      <c r="H182" s="20" t="e">
        <f t="shared" si="11"/>
        <v>#DIV/0!</v>
      </c>
      <c r="I182" s="20" t="e">
        <f t="shared" si="12"/>
        <v>#DIV/0!</v>
      </c>
      <c r="J182" s="20" t="e">
        <f t="shared" si="13"/>
        <v>#DIV/0!</v>
      </c>
      <c r="K182" s="20" t="e">
        <f t="shared" si="14"/>
        <v>#DIV/0!</v>
      </c>
      <c r="L182" s="20"/>
    </row>
    <row r="183" spans="1:12">
      <c r="A183" s="17" t="s">
        <v>381</v>
      </c>
      <c r="B183" s="17"/>
      <c r="C183" s="18">
        <v>75</v>
      </c>
      <c r="D183" s="19">
        <f t="shared" si="15"/>
        <v>95</v>
      </c>
      <c r="E183" s="19" t="s">
        <v>382</v>
      </c>
      <c r="F183" s="20">
        <v>18.079999999999998</v>
      </c>
      <c r="G183" s="20"/>
      <c r="H183" s="20">
        <f t="shared" si="11"/>
        <v>0.75893333333333335</v>
      </c>
      <c r="I183" s="20">
        <f t="shared" si="12"/>
        <v>0.80968421052631578</v>
      </c>
      <c r="J183" s="20">
        <f t="shared" si="13"/>
        <v>4.1482300884955752</v>
      </c>
      <c r="K183" s="20">
        <f t="shared" si="14"/>
        <v>5.2544247787610621</v>
      </c>
      <c r="L183" s="20"/>
    </row>
    <row r="184" spans="1:12" ht="15.75">
      <c r="A184" s="16" t="s">
        <v>383</v>
      </c>
      <c r="B184" s="16"/>
      <c r="C184" s="18"/>
      <c r="D184" s="19"/>
      <c r="E184" s="19"/>
      <c r="F184" s="19"/>
      <c r="G184" s="19"/>
      <c r="H184" s="20" t="e">
        <f t="shared" si="11"/>
        <v>#DIV/0!</v>
      </c>
      <c r="I184" s="20" t="e">
        <f t="shared" si="12"/>
        <v>#DIV/0!</v>
      </c>
      <c r="J184" s="20" t="e">
        <f t="shared" si="13"/>
        <v>#DIV/0!</v>
      </c>
      <c r="K184" s="20" t="e">
        <f t="shared" si="14"/>
        <v>#DIV/0!</v>
      </c>
      <c r="L184" s="20"/>
    </row>
    <row r="185" spans="1:12">
      <c r="A185" s="17" t="s">
        <v>181</v>
      </c>
      <c r="B185" s="17"/>
      <c r="C185" s="18">
        <v>70</v>
      </c>
      <c r="D185" s="19">
        <f t="shared" si="15"/>
        <v>90</v>
      </c>
      <c r="E185" s="19" t="s">
        <v>384</v>
      </c>
      <c r="F185" s="20">
        <v>25.9</v>
      </c>
      <c r="G185" s="20"/>
      <c r="H185" s="20">
        <f t="shared" si="11"/>
        <v>0.63</v>
      </c>
      <c r="I185" s="20">
        <f t="shared" si="12"/>
        <v>0.7122222222222222</v>
      </c>
      <c r="J185" s="20">
        <f t="shared" si="13"/>
        <v>2.7027027027027026</v>
      </c>
      <c r="K185" s="20">
        <f t="shared" si="14"/>
        <v>3.4749034749034751</v>
      </c>
      <c r="L185" s="20"/>
    </row>
    <row r="186" spans="1:12">
      <c r="A186" s="17" t="s">
        <v>318</v>
      </c>
      <c r="B186" s="17"/>
      <c r="C186" s="18">
        <v>30</v>
      </c>
      <c r="D186" s="19">
        <f t="shared" si="15"/>
        <v>50</v>
      </c>
      <c r="E186" s="19" t="s">
        <v>385</v>
      </c>
      <c r="F186" s="20">
        <v>20.36</v>
      </c>
      <c r="G186" s="20"/>
      <c r="H186" s="20">
        <f t="shared" si="11"/>
        <v>0.32133333333333336</v>
      </c>
      <c r="I186" s="20">
        <f t="shared" si="12"/>
        <v>0.59279999999999999</v>
      </c>
      <c r="J186" s="20">
        <f t="shared" si="13"/>
        <v>1.4734774066797642</v>
      </c>
      <c r="K186" s="20">
        <f t="shared" si="14"/>
        <v>2.4557956777996073</v>
      </c>
      <c r="L186" s="20"/>
    </row>
    <row r="187" spans="1:12">
      <c r="A187" s="17" t="s">
        <v>386</v>
      </c>
      <c r="B187" s="17"/>
      <c r="C187" s="18">
        <v>25</v>
      </c>
      <c r="D187" s="19">
        <f t="shared" si="15"/>
        <v>45</v>
      </c>
      <c r="E187" s="19" t="s">
        <v>387</v>
      </c>
      <c r="F187" s="20">
        <v>18.97</v>
      </c>
      <c r="G187" s="20"/>
      <c r="H187" s="20">
        <f t="shared" si="11"/>
        <v>0.24120000000000005</v>
      </c>
      <c r="I187" s="20">
        <f t="shared" si="12"/>
        <v>0.57844444444444443</v>
      </c>
      <c r="J187" s="20">
        <f t="shared" si="13"/>
        <v>1.3178703215603584</v>
      </c>
      <c r="K187" s="20">
        <f t="shared" si="14"/>
        <v>2.3721665788086455</v>
      </c>
      <c r="L187" s="20"/>
    </row>
    <row r="188" spans="1:12">
      <c r="A188" s="17" t="s">
        <v>388</v>
      </c>
      <c r="B188" s="17"/>
      <c r="C188" s="18">
        <v>25</v>
      </c>
      <c r="D188" s="19">
        <f t="shared" si="15"/>
        <v>45</v>
      </c>
      <c r="E188" s="19" t="s">
        <v>175</v>
      </c>
      <c r="F188" s="20">
        <v>16.2</v>
      </c>
      <c r="G188" s="20"/>
      <c r="H188" s="20">
        <f t="shared" si="11"/>
        <v>0.35200000000000004</v>
      </c>
      <c r="I188" s="20">
        <f t="shared" si="12"/>
        <v>0.64</v>
      </c>
      <c r="J188" s="20">
        <f t="shared" si="13"/>
        <v>1.5432098765432098</v>
      </c>
      <c r="K188" s="20">
        <f t="shared" si="14"/>
        <v>2.7777777777777777</v>
      </c>
      <c r="L188" s="20"/>
    </row>
    <row r="189" spans="1:12">
      <c r="A189" s="17" t="s">
        <v>187</v>
      </c>
      <c r="B189" s="17"/>
      <c r="C189" s="18">
        <v>10</v>
      </c>
      <c r="D189" s="19">
        <f t="shared" si="15"/>
        <v>30</v>
      </c>
      <c r="E189" s="19" t="s">
        <v>175</v>
      </c>
      <c r="F189" s="20">
        <v>16.2</v>
      </c>
      <c r="G189" s="20"/>
      <c r="H189" s="20">
        <f t="shared" si="11"/>
        <v>-0.61999999999999988</v>
      </c>
      <c r="I189" s="20">
        <f t="shared" si="12"/>
        <v>0.46</v>
      </c>
      <c r="J189" s="20">
        <f t="shared" si="13"/>
        <v>0.61728395061728403</v>
      </c>
      <c r="K189" s="20">
        <f t="shared" si="14"/>
        <v>1.8518518518518519</v>
      </c>
      <c r="L189" s="20"/>
    </row>
    <row r="190" spans="1:12" ht="15.75">
      <c r="A190" s="16" t="s">
        <v>389</v>
      </c>
      <c r="B190" s="16"/>
      <c r="C190" s="18"/>
      <c r="D190" s="19"/>
      <c r="E190" s="19"/>
      <c r="F190" s="19"/>
      <c r="G190" s="19"/>
      <c r="H190" s="20" t="e">
        <f t="shared" si="11"/>
        <v>#DIV/0!</v>
      </c>
      <c r="I190" s="20" t="e">
        <f t="shared" si="12"/>
        <v>#DIV/0!</v>
      </c>
      <c r="J190" s="20" t="e">
        <f t="shared" si="13"/>
        <v>#DIV/0!</v>
      </c>
      <c r="K190" s="20" t="e">
        <f t="shared" si="14"/>
        <v>#DIV/0!</v>
      </c>
      <c r="L190" s="20"/>
    </row>
    <row r="191" spans="1:12">
      <c r="A191" s="17" t="s">
        <v>390</v>
      </c>
      <c r="B191" s="17"/>
      <c r="C191" s="18">
        <v>50</v>
      </c>
      <c r="D191" s="19">
        <f t="shared" si="15"/>
        <v>70</v>
      </c>
      <c r="E191" s="19" t="s">
        <v>391</v>
      </c>
      <c r="F191" s="20">
        <v>19.2</v>
      </c>
      <c r="G191" s="20"/>
      <c r="H191" s="20">
        <f t="shared" si="11"/>
        <v>0.61599999999999999</v>
      </c>
      <c r="I191" s="20">
        <f t="shared" si="12"/>
        <v>0.72571428571428565</v>
      </c>
      <c r="J191" s="20">
        <f t="shared" si="13"/>
        <v>2.604166666666667</v>
      </c>
      <c r="K191" s="20">
        <f t="shared" si="14"/>
        <v>3.6458333333333335</v>
      </c>
      <c r="L191" s="20"/>
    </row>
    <row r="192" spans="1:12">
      <c r="A192" s="17" t="s">
        <v>392</v>
      </c>
      <c r="B192" s="17"/>
      <c r="C192" s="18">
        <v>40</v>
      </c>
      <c r="D192" s="19">
        <f t="shared" si="15"/>
        <v>60</v>
      </c>
      <c r="E192" s="19" t="s">
        <v>393</v>
      </c>
      <c r="F192" s="20">
        <v>17.25</v>
      </c>
      <c r="G192" s="20"/>
      <c r="H192" s="20">
        <f t="shared" si="11"/>
        <v>0.56874999999999998</v>
      </c>
      <c r="I192" s="20">
        <f t="shared" si="12"/>
        <v>0.71250000000000002</v>
      </c>
      <c r="J192" s="20">
        <f t="shared" si="13"/>
        <v>2.318840579710145</v>
      </c>
      <c r="K192" s="20">
        <f t="shared" si="14"/>
        <v>3.4782608695652173</v>
      </c>
      <c r="L192" s="20"/>
    </row>
    <row r="193" spans="1:12">
      <c r="A193" s="17" t="s">
        <v>222</v>
      </c>
      <c r="B193" s="17"/>
      <c r="C193" s="18">
        <v>40</v>
      </c>
      <c r="D193" s="19">
        <f t="shared" si="15"/>
        <v>60</v>
      </c>
      <c r="E193" s="19" t="s">
        <v>391</v>
      </c>
      <c r="F193" s="20">
        <v>19.2</v>
      </c>
      <c r="G193" s="20"/>
      <c r="H193" s="20">
        <f t="shared" si="11"/>
        <v>0.52</v>
      </c>
      <c r="I193" s="20">
        <f t="shared" si="12"/>
        <v>0.67999999999999994</v>
      </c>
      <c r="J193" s="20">
        <f t="shared" si="13"/>
        <v>2.0833333333333335</v>
      </c>
      <c r="K193" s="20">
        <f t="shared" si="14"/>
        <v>3.125</v>
      </c>
      <c r="L193" s="20"/>
    </row>
    <row r="194" spans="1:12">
      <c r="A194" s="17" t="s">
        <v>181</v>
      </c>
      <c r="B194" s="17"/>
      <c r="C194" s="18">
        <v>70</v>
      </c>
      <c r="D194" s="19">
        <f t="shared" si="15"/>
        <v>90</v>
      </c>
      <c r="E194" s="19" t="s">
        <v>394</v>
      </c>
      <c r="F194" s="20">
        <v>22.19</v>
      </c>
      <c r="G194" s="20"/>
      <c r="H194" s="20">
        <f t="shared" si="11"/>
        <v>0.68300000000000005</v>
      </c>
      <c r="I194" s="20">
        <f t="shared" si="12"/>
        <v>0.75344444444444447</v>
      </c>
      <c r="J194" s="20">
        <f t="shared" si="13"/>
        <v>3.1545741324921135</v>
      </c>
      <c r="K194" s="20">
        <f t="shared" si="14"/>
        <v>4.0558810274898605</v>
      </c>
      <c r="L194" s="20"/>
    </row>
    <row r="195" spans="1:12">
      <c r="A195" s="17" t="s">
        <v>187</v>
      </c>
      <c r="B195" s="17"/>
      <c r="C195" s="18">
        <v>20</v>
      </c>
      <c r="D195" s="19">
        <f t="shared" si="15"/>
        <v>40</v>
      </c>
      <c r="E195" s="19" t="s">
        <v>175</v>
      </c>
      <c r="F195" s="20">
        <v>16.2</v>
      </c>
      <c r="G195" s="20"/>
      <c r="H195" s="20">
        <f t="shared" si="11"/>
        <v>0.19000000000000003</v>
      </c>
      <c r="I195" s="20">
        <f t="shared" si="12"/>
        <v>0.59499999999999997</v>
      </c>
      <c r="J195" s="20">
        <f t="shared" si="13"/>
        <v>1.2345679012345681</v>
      </c>
      <c r="K195" s="20">
        <f t="shared" si="14"/>
        <v>2.4691358024691361</v>
      </c>
      <c r="L195" s="20"/>
    </row>
    <row r="196" spans="1:12">
      <c r="A196" s="17" t="s">
        <v>395</v>
      </c>
      <c r="B196" s="17"/>
      <c r="C196" s="18">
        <v>80</v>
      </c>
      <c r="D196" s="19">
        <f t="shared" si="15"/>
        <v>100</v>
      </c>
      <c r="E196" s="19" t="s">
        <v>175</v>
      </c>
      <c r="F196" s="20">
        <v>16.2</v>
      </c>
      <c r="G196" s="20"/>
      <c r="H196" s="20">
        <f t="shared" ref="H196:H209" si="16">(C196-F196)/C196</f>
        <v>0.79749999999999999</v>
      </c>
      <c r="I196" s="20">
        <f t="shared" ref="I196:I209" si="17">(D196-F196)/D196</f>
        <v>0.83799999999999997</v>
      </c>
      <c r="J196" s="20">
        <f t="shared" ref="J196:J209" si="18">C196/F196</f>
        <v>4.9382716049382722</v>
      </c>
      <c r="K196" s="20">
        <f t="shared" ref="K196:K209" si="19">D196/F196</f>
        <v>6.1728395061728394</v>
      </c>
      <c r="L196" s="20"/>
    </row>
    <row r="197" spans="1:12">
      <c r="A197" s="17" t="s">
        <v>396</v>
      </c>
      <c r="B197" s="17"/>
      <c r="C197" s="18">
        <v>50</v>
      </c>
      <c r="D197" s="19">
        <f t="shared" si="15"/>
        <v>70</v>
      </c>
      <c r="E197" s="19" t="s">
        <v>175</v>
      </c>
      <c r="F197" s="20">
        <v>16.2</v>
      </c>
      <c r="G197" s="20"/>
      <c r="H197" s="20">
        <f t="shared" si="16"/>
        <v>0.67599999999999993</v>
      </c>
      <c r="I197" s="20">
        <f t="shared" si="17"/>
        <v>0.76857142857142857</v>
      </c>
      <c r="J197" s="20">
        <f t="shared" si="18"/>
        <v>3.0864197530864197</v>
      </c>
      <c r="K197" s="20">
        <f t="shared" si="19"/>
        <v>4.3209876543209882</v>
      </c>
      <c r="L197" s="20"/>
    </row>
    <row r="198" spans="1:12">
      <c r="A198" s="17" t="s">
        <v>397</v>
      </c>
      <c r="B198" s="17"/>
      <c r="C198" s="18">
        <v>30</v>
      </c>
      <c r="D198" s="19">
        <f t="shared" si="15"/>
        <v>50</v>
      </c>
      <c r="E198" s="19" t="s">
        <v>175</v>
      </c>
      <c r="F198" s="20">
        <v>16.2</v>
      </c>
      <c r="G198" s="20"/>
      <c r="H198" s="20">
        <f t="shared" si="16"/>
        <v>0.46</v>
      </c>
      <c r="I198" s="20">
        <f t="shared" si="17"/>
        <v>0.67599999999999993</v>
      </c>
      <c r="J198" s="20">
        <f t="shared" si="18"/>
        <v>1.8518518518518519</v>
      </c>
      <c r="K198" s="20">
        <f t="shared" si="19"/>
        <v>3.0864197530864197</v>
      </c>
      <c r="L198" s="20"/>
    </row>
    <row r="199" spans="1:12">
      <c r="A199" s="17" t="s">
        <v>398</v>
      </c>
      <c r="B199" s="17"/>
      <c r="C199" s="18">
        <v>20</v>
      </c>
      <c r="D199" s="19">
        <f t="shared" si="15"/>
        <v>40</v>
      </c>
      <c r="E199" s="19" t="s">
        <v>175</v>
      </c>
      <c r="F199" s="20">
        <v>16.2</v>
      </c>
      <c r="G199" s="20"/>
      <c r="H199" s="20">
        <f t="shared" si="16"/>
        <v>0.19000000000000003</v>
      </c>
      <c r="I199" s="20">
        <f t="shared" si="17"/>
        <v>0.59499999999999997</v>
      </c>
      <c r="J199" s="20">
        <f t="shared" si="18"/>
        <v>1.2345679012345681</v>
      </c>
      <c r="K199" s="20">
        <f t="shared" si="19"/>
        <v>2.4691358024691361</v>
      </c>
      <c r="L199" s="20"/>
    </row>
    <row r="200" spans="1:12" ht="15.75">
      <c r="A200" s="16" t="s">
        <v>399</v>
      </c>
      <c r="B200" s="16"/>
      <c r="C200" s="18"/>
      <c r="D200" s="19"/>
      <c r="E200" s="19"/>
      <c r="F200" s="19"/>
      <c r="G200" s="19"/>
      <c r="H200" s="20" t="e">
        <f t="shared" si="16"/>
        <v>#DIV/0!</v>
      </c>
      <c r="I200" s="20" t="e">
        <f t="shared" si="17"/>
        <v>#DIV/0!</v>
      </c>
      <c r="J200" s="20" t="e">
        <f t="shared" si="18"/>
        <v>#DIV/0!</v>
      </c>
      <c r="K200" s="20" t="e">
        <f t="shared" si="19"/>
        <v>#DIV/0!</v>
      </c>
      <c r="L200" s="20"/>
    </row>
    <row r="201" spans="1:12">
      <c r="A201" s="17" t="s">
        <v>181</v>
      </c>
      <c r="B201" s="17"/>
      <c r="C201" s="18">
        <v>60</v>
      </c>
      <c r="D201" s="19">
        <f t="shared" si="15"/>
        <v>80</v>
      </c>
      <c r="E201" s="19" t="s">
        <v>400</v>
      </c>
      <c r="F201" s="20">
        <v>19.98</v>
      </c>
      <c r="G201" s="20"/>
      <c r="H201" s="20">
        <f t="shared" si="16"/>
        <v>0.66699999999999993</v>
      </c>
      <c r="I201" s="20">
        <f t="shared" si="17"/>
        <v>0.75024999999999997</v>
      </c>
      <c r="J201" s="20">
        <f t="shared" si="18"/>
        <v>3.0030030030030028</v>
      </c>
      <c r="K201" s="20">
        <f t="shared" si="19"/>
        <v>4.0040040040040044</v>
      </c>
      <c r="L201" s="20"/>
    </row>
    <row r="202" spans="1:12">
      <c r="A202" s="17" t="s">
        <v>401</v>
      </c>
      <c r="B202" s="17"/>
      <c r="C202" s="18">
        <v>80</v>
      </c>
      <c r="D202" s="19">
        <f t="shared" si="15"/>
        <v>100</v>
      </c>
      <c r="E202" s="19" t="s">
        <v>402</v>
      </c>
      <c r="F202" s="20">
        <v>20.85</v>
      </c>
      <c r="G202" s="20"/>
      <c r="H202" s="20">
        <f t="shared" si="16"/>
        <v>0.739375</v>
      </c>
      <c r="I202" s="20">
        <f t="shared" si="17"/>
        <v>0.79150000000000009</v>
      </c>
      <c r="J202" s="20">
        <f t="shared" si="18"/>
        <v>3.8369304556354913</v>
      </c>
      <c r="K202" s="20">
        <f t="shared" si="19"/>
        <v>4.796163069544364</v>
      </c>
      <c r="L202" s="20"/>
    </row>
    <row r="203" spans="1:12">
      <c r="A203" s="17" t="s">
        <v>187</v>
      </c>
      <c r="B203" s="17"/>
      <c r="C203" s="18">
        <v>20</v>
      </c>
      <c r="D203" s="19">
        <f t="shared" si="15"/>
        <v>40</v>
      </c>
      <c r="E203" s="19" t="s">
        <v>403</v>
      </c>
      <c r="F203" s="20">
        <v>16.78</v>
      </c>
      <c r="G203" s="20"/>
      <c r="H203" s="20">
        <f t="shared" si="16"/>
        <v>0.16099999999999995</v>
      </c>
      <c r="I203" s="20">
        <f t="shared" si="17"/>
        <v>0.58050000000000002</v>
      </c>
      <c r="J203" s="20">
        <f t="shared" si="18"/>
        <v>1.1918951132300357</v>
      </c>
      <c r="K203" s="20">
        <f t="shared" si="19"/>
        <v>2.3837902264600714</v>
      </c>
      <c r="L203" s="20"/>
    </row>
    <row r="204" spans="1:12">
      <c r="A204" s="17" t="s">
        <v>183</v>
      </c>
      <c r="B204" s="17"/>
      <c r="C204" s="18">
        <v>45</v>
      </c>
      <c r="D204" s="19">
        <f t="shared" si="15"/>
        <v>65</v>
      </c>
      <c r="E204" s="19" t="s">
        <v>404</v>
      </c>
      <c r="F204" s="20">
        <v>17.07</v>
      </c>
      <c r="G204" s="20"/>
      <c r="H204" s="20">
        <f t="shared" si="16"/>
        <v>0.6206666666666667</v>
      </c>
      <c r="I204" s="20">
        <f t="shared" si="17"/>
        <v>0.73738461538461542</v>
      </c>
      <c r="J204" s="20">
        <f t="shared" si="18"/>
        <v>2.6362038664323375</v>
      </c>
      <c r="K204" s="20">
        <f t="shared" si="19"/>
        <v>3.8078500292911541</v>
      </c>
      <c r="L204" s="20"/>
    </row>
    <row r="205" spans="1:12">
      <c r="A205" s="17" t="s">
        <v>405</v>
      </c>
      <c r="B205" s="17"/>
      <c r="C205" s="18">
        <v>50</v>
      </c>
      <c r="D205" s="19">
        <f t="shared" si="15"/>
        <v>70</v>
      </c>
      <c r="E205" s="19" t="s">
        <v>406</v>
      </c>
      <c r="F205" s="20">
        <v>17.649999999999999</v>
      </c>
      <c r="G205" s="20"/>
      <c r="H205" s="20">
        <f t="shared" si="16"/>
        <v>0.64700000000000002</v>
      </c>
      <c r="I205" s="20">
        <f t="shared" si="17"/>
        <v>0.74785714285714289</v>
      </c>
      <c r="J205" s="20">
        <f t="shared" si="18"/>
        <v>2.8328611898017</v>
      </c>
      <c r="K205" s="20">
        <f t="shared" si="19"/>
        <v>3.9660056657223799</v>
      </c>
      <c r="L205" s="20"/>
    </row>
    <row r="206" spans="1:12" ht="15.75">
      <c r="A206" s="16" t="s">
        <v>407</v>
      </c>
      <c r="B206" s="16"/>
      <c r="C206" s="18"/>
      <c r="D206" s="19"/>
      <c r="E206" s="19"/>
      <c r="F206" s="19"/>
      <c r="G206" s="19"/>
      <c r="H206" s="20" t="e">
        <f t="shared" si="16"/>
        <v>#DIV/0!</v>
      </c>
      <c r="I206" s="20" t="e">
        <f t="shared" si="17"/>
        <v>#DIV/0!</v>
      </c>
      <c r="J206" s="20" t="e">
        <f t="shared" si="18"/>
        <v>#DIV/0!</v>
      </c>
      <c r="K206" s="20" t="e">
        <f t="shared" si="19"/>
        <v>#DIV/0!</v>
      </c>
      <c r="L206" s="20"/>
    </row>
    <row r="207" spans="1:12">
      <c r="A207" s="17" t="s">
        <v>181</v>
      </c>
      <c r="B207" s="17"/>
      <c r="C207" s="18">
        <v>70</v>
      </c>
      <c r="D207" s="19">
        <f t="shared" ref="D207:D209" si="20">C207+20</f>
        <v>90</v>
      </c>
      <c r="E207" s="19" t="s">
        <v>175</v>
      </c>
      <c r="F207" s="20">
        <v>16.2</v>
      </c>
      <c r="G207" s="20"/>
      <c r="H207" s="20">
        <f t="shared" si="16"/>
        <v>0.76857142857142857</v>
      </c>
      <c r="I207" s="20">
        <f t="shared" si="17"/>
        <v>0.82</v>
      </c>
      <c r="J207" s="20">
        <f t="shared" si="18"/>
        <v>4.3209876543209882</v>
      </c>
      <c r="K207" s="20">
        <f t="shared" si="19"/>
        <v>5.5555555555555554</v>
      </c>
      <c r="L207" s="20"/>
    </row>
    <row r="208" spans="1:12">
      <c r="A208" s="17" t="s">
        <v>408</v>
      </c>
      <c r="B208" s="17"/>
      <c r="C208" s="18">
        <v>60</v>
      </c>
      <c r="D208" s="19">
        <f t="shared" si="20"/>
        <v>80</v>
      </c>
      <c r="E208" s="19" t="s">
        <v>175</v>
      </c>
      <c r="F208" s="20">
        <v>16.2</v>
      </c>
      <c r="G208" s="20"/>
      <c r="H208" s="20">
        <f t="shared" si="16"/>
        <v>0.73</v>
      </c>
      <c r="I208" s="20">
        <f t="shared" si="17"/>
        <v>0.79749999999999999</v>
      </c>
      <c r="J208" s="20">
        <f t="shared" si="18"/>
        <v>3.7037037037037037</v>
      </c>
      <c r="K208" s="20">
        <f t="shared" si="19"/>
        <v>4.9382716049382722</v>
      </c>
      <c r="L208" s="20"/>
    </row>
    <row r="209" spans="1:12">
      <c r="A209" s="17" t="s">
        <v>409</v>
      </c>
      <c r="B209" s="17"/>
      <c r="C209" s="18">
        <v>30</v>
      </c>
      <c r="D209" s="19">
        <f t="shared" si="20"/>
        <v>50</v>
      </c>
      <c r="E209" s="19" t="s">
        <v>410</v>
      </c>
      <c r="F209" s="24">
        <v>32.56</v>
      </c>
      <c r="G209" s="24"/>
      <c r="H209" s="20">
        <f t="shared" si="16"/>
        <v>-8.5333333333333414E-2</v>
      </c>
      <c r="I209" s="20">
        <f t="shared" si="17"/>
        <v>0.34879999999999994</v>
      </c>
      <c r="J209" s="20">
        <f t="shared" si="18"/>
        <v>0.92137592137592128</v>
      </c>
      <c r="K209" s="20">
        <f t="shared" si="19"/>
        <v>1.5356265356265355</v>
      </c>
      <c r="L209" s="20"/>
    </row>
    <row r="210" spans="1:12">
      <c r="A210" s="17"/>
      <c r="B210" s="17"/>
      <c r="C210" s="18"/>
      <c r="D210" s="25"/>
      <c r="E210" s="25"/>
      <c r="F210" s="25"/>
      <c r="G210" s="25"/>
      <c r="H210" s="25"/>
      <c r="I210" s="25"/>
      <c r="J210" s="25"/>
      <c r="K210" s="25"/>
      <c r="L210" s="25"/>
    </row>
    <row r="211" spans="1:12">
      <c r="C211" s="18"/>
      <c r="D211" s="25"/>
      <c r="E211" s="25"/>
      <c r="F211" s="25"/>
      <c r="G211" s="25"/>
      <c r="H211" s="25"/>
      <c r="I211" s="25"/>
      <c r="J211" s="25"/>
      <c r="K211" s="25"/>
      <c r="L211" s="25"/>
    </row>
    <row r="212" spans="1:12">
      <c r="C212" s="18"/>
      <c r="D212" s="25"/>
      <c r="E212" s="25"/>
      <c r="F212" s="25"/>
      <c r="G212" s="25"/>
      <c r="H212" s="25"/>
      <c r="I212" s="25"/>
      <c r="J212" s="25"/>
      <c r="K212" s="25"/>
      <c r="L212" s="25"/>
    </row>
    <row r="213" spans="1:12">
      <c r="C213" s="18"/>
      <c r="D213" s="25"/>
      <c r="E213" s="25"/>
      <c r="F213" s="25"/>
      <c r="G213" s="25"/>
      <c r="H213" s="25"/>
      <c r="I213" s="25"/>
      <c r="J213" s="25"/>
      <c r="K213" s="25"/>
      <c r="L213" s="25"/>
    </row>
    <row r="214" spans="1:12">
      <c r="C214" s="18"/>
      <c r="D214" s="25"/>
      <c r="E214" s="25"/>
      <c r="F214" s="25"/>
      <c r="G214" s="25"/>
      <c r="H214" s="25"/>
      <c r="I214" s="25"/>
      <c r="J214" s="25"/>
      <c r="K214" s="25"/>
      <c r="L214" s="25"/>
    </row>
    <row r="215" spans="1:12">
      <c r="C215" s="18"/>
      <c r="D215" s="25"/>
      <c r="E215" s="25"/>
      <c r="F215" s="25"/>
      <c r="G215" s="25"/>
      <c r="H215" s="25"/>
      <c r="I215" s="25"/>
      <c r="J215" s="25"/>
      <c r="K215" s="25"/>
      <c r="L215" s="25"/>
    </row>
    <row r="216" spans="1:12">
      <c r="C216" s="18"/>
      <c r="D216" s="25"/>
      <c r="E216" s="25"/>
      <c r="F216" s="25"/>
      <c r="G216" s="25"/>
      <c r="H216" s="25"/>
      <c r="I216" s="25"/>
      <c r="J216" s="25"/>
      <c r="K216" s="25"/>
      <c r="L216" s="25"/>
    </row>
    <row r="217" spans="1:12">
      <c r="C217" s="18"/>
      <c r="D217" s="25"/>
      <c r="E217" s="25"/>
      <c r="F217" s="25"/>
      <c r="G217" s="25"/>
      <c r="H217" s="25"/>
      <c r="I217" s="25"/>
      <c r="J217" s="25"/>
      <c r="K217" s="25"/>
      <c r="L217" s="25"/>
    </row>
    <row r="218" spans="1:12">
      <c r="C218" s="18"/>
      <c r="D218" s="25"/>
      <c r="E218" s="25"/>
      <c r="F218" s="25"/>
      <c r="G218" s="25"/>
      <c r="H218" s="25"/>
      <c r="I218" s="25"/>
      <c r="J218" s="25"/>
      <c r="K218" s="25"/>
      <c r="L218" s="25"/>
    </row>
    <row r="219" spans="1:12">
      <c r="C219" s="18"/>
      <c r="D219" s="25"/>
      <c r="E219" s="25"/>
      <c r="F219" s="25"/>
      <c r="G219" s="25"/>
      <c r="H219" s="25"/>
      <c r="I219" s="25"/>
      <c r="J219" s="25"/>
      <c r="K219" s="25"/>
      <c r="L219" s="25"/>
    </row>
    <row r="220" spans="1:12">
      <c r="C220" s="18"/>
      <c r="D220" s="25"/>
      <c r="E220" s="25"/>
      <c r="F220" s="25"/>
      <c r="G220" s="25"/>
      <c r="H220" s="25"/>
      <c r="I220" s="25"/>
      <c r="J220" s="25"/>
      <c r="K220" s="25"/>
      <c r="L220" s="25"/>
    </row>
    <row r="221" spans="1:12">
      <c r="C221" s="18"/>
      <c r="D221" s="25"/>
      <c r="E221" s="25"/>
      <c r="F221" s="25"/>
      <c r="G221" s="25"/>
      <c r="H221" s="25"/>
      <c r="I221" s="25"/>
      <c r="J221" s="25"/>
      <c r="K221" s="25"/>
      <c r="L221" s="25"/>
    </row>
    <row r="222" spans="1:12">
      <c r="C222" s="18"/>
      <c r="D222" s="25"/>
      <c r="E222" s="25"/>
      <c r="F222" s="25"/>
      <c r="G222" s="25"/>
      <c r="H222" s="25"/>
      <c r="I222" s="25"/>
      <c r="J222" s="25"/>
      <c r="K222" s="25"/>
      <c r="L222" s="25"/>
    </row>
    <row r="223" spans="1:12">
      <c r="C223" s="18"/>
      <c r="D223" s="25"/>
      <c r="E223" s="25"/>
      <c r="F223" s="25"/>
      <c r="G223" s="25"/>
      <c r="H223" s="25"/>
      <c r="I223" s="25"/>
      <c r="J223" s="25"/>
      <c r="K223" s="25"/>
      <c r="L223" s="25"/>
    </row>
    <row r="224" spans="1:12">
      <c r="C224" s="18"/>
      <c r="D224" s="25"/>
      <c r="E224" s="25"/>
      <c r="F224" s="25"/>
      <c r="G224" s="25"/>
      <c r="H224" s="25"/>
      <c r="I224" s="25"/>
      <c r="J224" s="25"/>
      <c r="K224" s="25"/>
      <c r="L224" s="25"/>
    </row>
    <row r="225" spans="3:12">
      <c r="C225" s="18"/>
      <c r="D225" s="25"/>
      <c r="E225" s="25"/>
      <c r="F225" s="25"/>
      <c r="G225" s="25"/>
      <c r="H225" s="25"/>
      <c r="I225" s="25"/>
      <c r="J225" s="25"/>
      <c r="K225" s="25"/>
      <c r="L225" s="25"/>
    </row>
    <row r="226" spans="3:12">
      <c r="C226" s="18"/>
      <c r="D226" s="25"/>
      <c r="E226" s="25"/>
      <c r="F226" s="25"/>
      <c r="G226" s="25"/>
      <c r="H226" s="25"/>
      <c r="I226" s="25"/>
      <c r="J226" s="25"/>
      <c r="K226" s="25"/>
      <c r="L226" s="25"/>
    </row>
    <row r="227" spans="3:12">
      <c r="C227" s="18"/>
      <c r="D227" s="25"/>
      <c r="E227" s="25"/>
      <c r="F227" s="25"/>
      <c r="G227" s="25"/>
      <c r="H227" s="25"/>
      <c r="I227" s="25"/>
      <c r="J227" s="25"/>
      <c r="K227" s="25"/>
      <c r="L227" s="25"/>
    </row>
    <row r="228" spans="3:12">
      <c r="C228" s="18"/>
      <c r="D228" s="25"/>
      <c r="E228" s="25"/>
      <c r="F228" s="25"/>
      <c r="G228" s="25"/>
      <c r="H228" s="25"/>
      <c r="I228" s="25"/>
      <c r="J228" s="25"/>
      <c r="K228" s="25"/>
      <c r="L228" s="25"/>
    </row>
    <row r="229" spans="3:12">
      <c r="C229" s="18"/>
      <c r="D229" s="25"/>
      <c r="E229" s="25"/>
      <c r="F229" s="25"/>
      <c r="G229" s="25"/>
      <c r="H229" s="25"/>
      <c r="I229" s="25"/>
      <c r="J229" s="25"/>
      <c r="K229" s="25"/>
      <c r="L229" s="25"/>
    </row>
    <row r="230" spans="3:12">
      <c r="C230" s="18"/>
    </row>
    <row r="231" spans="3:12">
      <c r="C231" s="18"/>
    </row>
    <row r="232" spans="3:12">
      <c r="C232" s="18"/>
    </row>
    <row r="233" spans="3:12">
      <c r="C233" s="18"/>
    </row>
    <row r="1360" spans="4:12">
      <c r="D1360" s="15"/>
      <c r="E1360" s="15"/>
      <c r="F1360" s="15"/>
      <c r="G1360" s="15"/>
      <c r="H1360" s="15"/>
      <c r="I1360" s="15"/>
      <c r="J1360" s="15"/>
      <c r="K1360" s="15"/>
      <c r="L1360" s="15"/>
    </row>
  </sheetData>
  <conditionalFormatting sqref="I1:I136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M13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40504-7F9C-4C57-9C62-EA7059037186}">
  <dimension ref="A1:M64"/>
  <sheetViews>
    <sheetView tabSelected="1" topLeftCell="A20" workbookViewId="0">
      <selection activeCell="K27" sqref="K27"/>
    </sheetView>
  </sheetViews>
  <sheetFormatPr defaultRowHeight="15"/>
  <cols>
    <col min="8" max="8" width="11" customWidth="1"/>
  </cols>
  <sheetData>
    <row r="1" spans="1:12">
      <c r="A1" s="30" t="s">
        <v>411</v>
      </c>
      <c r="B1" s="33"/>
      <c r="C1" s="30"/>
      <c r="D1" s="30"/>
      <c r="E1" s="30"/>
      <c r="F1" s="30"/>
      <c r="G1" s="30"/>
      <c r="H1" s="30"/>
      <c r="I1" s="30"/>
    </row>
    <row r="2" spans="1:12">
      <c r="A2" s="30"/>
      <c r="B2" s="30"/>
      <c r="C2" s="30"/>
      <c r="D2" s="30"/>
      <c r="E2" s="30"/>
      <c r="F2" s="30"/>
      <c r="G2" s="30"/>
      <c r="H2" s="30"/>
      <c r="I2" s="30"/>
    </row>
    <row r="3" spans="1:12">
      <c r="A3" s="34" t="s">
        <v>412</v>
      </c>
      <c r="B3" s="35"/>
      <c r="C3" s="30"/>
      <c r="D3" s="30"/>
      <c r="E3" s="30"/>
      <c r="F3" s="30"/>
      <c r="G3" s="30"/>
      <c r="H3" s="30"/>
      <c r="I3" s="30"/>
    </row>
    <row r="4" spans="1:12">
      <c r="A4" s="30" t="s">
        <v>413</v>
      </c>
      <c r="B4" s="30">
        <v>0.108638</v>
      </c>
      <c r="C4" s="30"/>
      <c r="D4" s="30"/>
      <c r="E4" s="30"/>
      <c r="F4" s="30"/>
      <c r="G4" s="30"/>
      <c r="H4" s="30"/>
      <c r="I4" s="30"/>
    </row>
    <row r="5" spans="1:12">
      <c r="A5" s="30" t="s">
        <v>414</v>
      </c>
      <c r="B5" s="30">
        <v>1.1802E-2</v>
      </c>
      <c r="C5" s="30"/>
      <c r="D5" s="30"/>
      <c r="E5" s="30"/>
      <c r="F5" s="30"/>
      <c r="G5" s="30"/>
      <c r="H5" s="30"/>
      <c r="I5" s="30"/>
    </row>
    <row r="6" spans="1:12">
      <c r="A6" s="30" t="s">
        <v>415</v>
      </c>
      <c r="B6" s="30">
        <v>9.4610000000000007E-3</v>
      </c>
      <c r="C6" s="30"/>
      <c r="D6" s="30"/>
      <c r="E6" s="30"/>
      <c r="F6" s="30"/>
      <c r="G6" s="30"/>
      <c r="H6" s="30"/>
      <c r="I6" s="30"/>
    </row>
    <row r="7" spans="1:12">
      <c r="A7" s="30" t="s">
        <v>416</v>
      </c>
      <c r="B7" s="30">
        <v>2.1969310000000002</v>
      </c>
      <c r="C7" s="30"/>
      <c r="D7" s="30"/>
      <c r="E7" s="30"/>
      <c r="F7" s="30"/>
      <c r="G7" s="30"/>
      <c r="H7" s="38" t="s">
        <v>417</v>
      </c>
      <c r="I7" s="38"/>
      <c r="J7" s="15"/>
      <c r="K7" s="15"/>
      <c r="L7" s="15"/>
    </row>
    <row r="8" spans="1:12">
      <c r="A8" s="36" t="s">
        <v>418</v>
      </c>
      <c r="B8" s="36">
        <v>424</v>
      </c>
      <c r="C8" s="30"/>
      <c r="D8" s="30"/>
      <c r="E8" s="30"/>
      <c r="F8" s="30"/>
      <c r="G8" s="30"/>
      <c r="H8" s="38" t="s">
        <v>419</v>
      </c>
      <c r="I8" s="38"/>
      <c r="J8" s="15"/>
      <c r="K8" s="15"/>
      <c r="L8" s="15"/>
    </row>
    <row r="9" spans="1:12">
      <c r="A9" s="30"/>
      <c r="B9" s="30"/>
      <c r="C9" s="30"/>
      <c r="D9" s="30"/>
      <c r="E9" s="30"/>
      <c r="F9" s="30"/>
      <c r="G9" s="30"/>
      <c r="H9" s="38" t="s">
        <v>420</v>
      </c>
      <c r="I9" s="38"/>
      <c r="J9" s="15"/>
      <c r="K9" s="15"/>
      <c r="L9" s="15"/>
    </row>
    <row r="10" spans="1:12">
      <c r="A10" s="30" t="s">
        <v>421</v>
      </c>
      <c r="B10" s="30"/>
      <c r="C10" s="30"/>
      <c r="D10" s="30"/>
      <c r="E10" s="30"/>
      <c r="F10" s="30"/>
      <c r="G10" s="30"/>
      <c r="H10" s="38"/>
      <c r="I10" s="38"/>
      <c r="J10" s="15"/>
      <c r="K10" s="15"/>
      <c r="L10" s="15"/>
    </row>
    <row r="11" spans="1:12">
      <c r="A11" s="34" t="s">
        <v>422</v>
      </c>
      <c r="B11" s="34" t="s">
        <v>423</v>
      </c>
      <c r="C11" s="34" t="s">
        <v>424</v>
      </c>
      <c r="D11" s="34" t="s">
        <v>425</v>
      </c>
      <c r="E11" s="34" t="s">
        <v>426</v>
      </c>
      <c r="F11" s="34" t="s">
        <v>427</v>
      </c>
      <c r="G11" s="30"/>
      <c r="H11" s="30"/>
      <c r="I11" s="30"/>
    </row>
    <row r="12" spans="1:12">
      <c r="A12" s="30" t="s">
        <v>428</v>
      </c>
      <c r="B12" s="30">
        <v>1</v>
      </c>
      <c r="C12" s="30">
        <v>24.325690000000002</v>
      </c>
      <c r="D12" s="30">
        <v>24.325690000000002</v>
      </c>
      <c r="E12" s="30">
        <v>5.0400229999999997</v>
      </c>
      <c r="F12" s="38">
        <v>2.5284999999999998E-2</v>
      </c>
      <c r="G12" s="30"/>
      <c r="H12" s="30"/>
      <c r="I12" s="30"/>
    </row>
    <row r="13" spans="1:12">
      <c r="A13" s="30" t="s">
        <v>429</v>
      </c>
      <c r="B13" s="30">
        <v>422</v>
      </c>
      <c r="C13" s="30">
        <v>2036.7850000000001</v>
      </c>
      <c r="D13" s="30">
        <v>4.826505</v>
      </c>
      <c r="E13" s="30"/>
      <c r="F13" s="30"/>
      <c r="G13" s="30"/>
      <c r="H13" s="30"/>
      <c r="I13" s="30"/>
    </row>
    <row r="14" spans="1:12">
      <c r="A14" s="36" t="s">
        <v>430</v>
      </c>
      <c r="B14" s="36">
        <v>423</v>
      </c>
      <c r="C14" s="36">
        <v>2061.1109999999999</v>
      </c>
      <c r="D14" s="36" t="s">
        <v>422</v>
      </c>
      <c r="E14" s="36" t="s">
        <v>422</v>
      </c>
      <c r="F14" s="36" t="s">
        <v>422</v>
      </c>
      <c r="G14" s="30"/>
      <c r="H14" s="30"/>
      <c r="I14" s="30"/>
    </row>
    <row r="15" spans="1:12">
      <c r="A15" s="30"/>
      <c r="B15" s="30"/>
      <c r="C15" s="30"/>
      <c r="D15" s="30"/>
      <c r="E15" s="30"/>
      <c r="F15" s="30"/>
      <c r="G15" s="30"/>
      <c r="H15" s="30"/>
      <c r="I15" s="30"/>
    </row>
    <row r="16" spans="1:12">
      <c r="A16" s="34" t="s">
        <v>422</v>
      </c>
      <c r="B16" s="34" t="s">
        <v>431</v>
      </c>
      <c r="C16" s="34" t="s">
        <v>416</v>
      </c>
      <c r="D16" s="34" t="s">
        <v>432</v>
      </c>
      <c r="E16" s="34" t="s">
        <v>433</v>
      </c>
      <c r="F16" s="34" t="s">
        <v>434</v>
      </c>
      <c r="G16" s="34" t="s">
        <v>435</v>
      </c>
      <c r="H16" s="34" t="s">
        <v>436</v>
      </c>
      <c r="I16" s="34" t="s">
        <v>437</v>
      </c>
    </row>
    <row r="17" spans="1:13">
      <c r="A17" s="30" t="s">
        <v>438</v>
      </c>
      <c r="B17" s="30">
        <v>4.8433640000000002</v>
      </c>
      <c r="C17" s="30">
        <v>0.16403100000000001</v>
      </c>
      <c r="D17" s="30">
        <v>29.527149999999999</v>
      </c>
      <c r="E17" s="37">
        <v>9.9999999999999993E-105</v>
      </c>
      <c r="F17" s="30">
        <v>4.5209450000000002</v>
      </c>
      <c r="G17" s="30">
        <v>5.1657830000000002</v>
      </c>
      <c r="H17" s="30">
        <v>4.5209450000000002</v>
      </c>
      <c r="I17" s="30">
        <v>5.1657830000000002</v>
      </c>
    </row>
    <row r="18" spans="1:13">
      <c r="A18" s="36" t="s">
        <v>439</v>
      </c>
      <c r="B18" s="39">
        <v>-0.16091</v>
      </c>
      <c r="C18" s="36">
        <v>7.1675000000000003E-2</v>
      </c>
      <c r="D18" s="36">
        <v>-2.2450000000000001</v>
      </c>
      <c r="E18" s="36">
        <v>2.5284999999999998E-2</v>
      </c>
      <c r="F18" s="36">
        <v>-0.30179</v>
      </c>
      <c r="G18" s="36">
        <v>-2.0029999999999999E-2</v>
      </c>
      <c r="H18" s="36">
        <v>-0.30179</v>
      </c>
      <c r="I18" s="36">
        <v>-2.0029999999999999E-2</v>
      </c>
    </row>
    <row r="20" spans="1:13" s="15" customFormat="1"/>
    <row r="23" spans="1:13">
      <c r="A23" s="34" t="s">
        <v>412</v>
      </c>
      <c r="B23" s="35"/>
      <c r="C23" s="30"/>
      <c r="D23" s="38" t="s">
        <v>440</v>
      </c>
      <c r="E23" s="38"/>
      <c r="F23" s="38"/>
      <c r="G23" s="38"/>
      <c r="H23" s="38"/>
      <c r="I23" s="38"/>
    </row>
    <row r="24" spans="1:13">
      <c r="A24" s="30" t="s">
        <v>413</v>
      </c>
      <c r="B24" s="30">
        <v>0.22812199999999999</v>
      </c>
      <c r="C24" s="30"/>
      <c r="D24" s="38" t="s">
        <v>441</v>
      </c>
      <c r="E24" s="38"/>
      <c r="F24" s="38"/>
      <c r="G24" s="38"/>
      <c r="H24" s="38"/>
      <c r="I24" s="38"/>
    </row>
    <row r="25" spans="1:13">
      <c r="A25" s="30" t="s">
        <v>414</v>
      </c>
      <c r="B25" s="30">
        <v>5.2040000000000003E-2</v>
      </c>
      <c r="C25" s="30"/>
      <c r="D25" s="38" t="s">
        <v>442</v>
      </c>
      <c r="E25" s="38"/>
      <c r="F25" s="38"/>
      <c r="G25" s="38"/>
      <c r="H25" s="38" t="s">
        <v>443</v>
      </c>
      <c r="I25" s="38" t="s">
        <v>444</v>
      </c>
    </row>
    <row r="26" spans="1:13">
      <c r="A26" s="30" t="s">
        <v>415</v>
      </c>
      <c r="B26" s="30">
        <v>4.9792999999999997E-2</v>
      </c>
      <c r="C26" s="30"/>
      <c r="D26" s="38" t="s">
        <v>445</v>
      </c>
      <c r="E26" s="38"/>
      <c r="F26" s="38"/>
      <c r="G26" s="38"/>
      <c r="H26" s="38"/>
      <c r="I26" s="38"/>
    </row>
    <row r="27" spans="1:13">
      <c r="A27" s="30" t="s">
        <v>416</v>
      </c>
      <c r="B27" s="30">
        <v>2.1517379999999999</v>
      </c>
      <c r="C27" s="30"/>
      <c r="D27" s="30" t="s">
        <v>446</v>
      </c>
      <c r="E27" s="30"/>
      <c r="F27" s="30"/>
      <c r="G27" s="30"/>
      <c r="H27" s="30"/>
      <c r="I27" s="30"/>
    </row>
    <row r="28" spans="1:13">
      <c r="A28" s="36" t="s">
        <v>418</v>
      </c>
      <c r="B28" s="36">
        <v>424</v>
      </c>
      <c r="C28" s="30"/>
      <c r="D28" s="30" t="s">
        <v>447</v>
      </c>
      <c r="E28" s="30"/>
      <c r="F28" s="30"/>
      <c r="G28" s="30"/>
      <c r="H28" s="30"/>
      <c r="I28" s="30"/>
    </row>
    <row r="29" spans="1:13">
      <c r="A29" s="30"/>
      <c r="B29" s="30"/>
      <c r="C29" s="30"/>
      <c r="D29" s="30"/>
      <c r="E29" s="30"/>
      <c r="F29" s="30"/>
      <c r="G29" s="30"/>
      <c r="H29" s="30"/>
      <c r="I29" s="30"/>
      <c r="L29" t="s">
        <v>448</v>
      </c>
    </row>
    <row r="30" spans="1:13">
      <c r="A30" s="30" t="s">
        <v>421</v>
      </c>
      <c r="B30" s="30"/>
      <c r="C30" s="30"/>
      <c r="D30" s="30"/>
      <c r="E30" s="30"/>
      <c r="F30" s="30"/>
      <c r="G30" s="30"/>
      <c r="H30" s="30"/>
      <c r="I30" s="30"/>
    </row>
    <row r="31" spans="1:13">
      <c r="A31" s="34" t="s">
        <v>422</v>
      </c>
      <c r="B31" s="34" t="s">
        <v>423</v>
      </c>
      <c r="C31" s="34" t="s">
        <v>424</v>
      </c>
      <c r="D31" s="34" t="s">
        <v>425</v>
      </c>
      <c r="E31" s="34" t="s">
        <v>426</v>
      </c>
      <c r="F31" s="34" t="s">
        <v>427</v>
      </c>
      <c r="G31" s="30"/>
      <c r="H31" s="30"/>
      <c r="I31" s="30"/>
      <c r="M31" t="s">
        <v>449</v>
      </c>
    </row>
    <row r="32" spans="1:13">
      <c r="A32" s="30" t="s">
        <v>428</v>
      </c>
      <c r="B32" s="30">
        <v>1</v>
      </c>
      <c r="C32" s="30">
        <v>107.2598</v>
      </c>
      <c r="D32" s="30">
        <v>107.2598</v>
      </c>
      <c r="E32" s="30">
        <v>23.166370000000001</v>
      </c>
      <c r="F32" s="41">
        <v>2.0700000000000001E-6</v>
      </c>
      <c r="G32" s="30"/>
      <c r="H32" s="30"/>
      <c r="I32" s="30"/>
      <c r="K32" t="s">
        <v>450</v>
      </c>
      <c r="M32" t="s">
        <v>451</v>
      </c>
    </row>
    <row r="33" spans="1:10">
      <c r="A33" s="30" t="s">
        <v>429</v>
      </c>
      <c r="B33" s="30">
        <v>422</v>
      </c>
      <c r="C33" s="30">
        <v>1953.8510000000001</v>
      </c>
      <c r="D33" s="30">
        <v>4.6299780000000004</v>
      </c>
      <c r="E33" s="30"/>
      <c r="F33" s="30"/>
      <c r="G33" s="30"/>
      <c r="H33" s="30"/>
      <c r="I33" s="30"/>
      <c r="J33" t="s">
        <v>452</v>
      </c>
    </row>
    <row r="34" spans="1:10">
      <c r="A34" s="36" t="s">
        <v>430</v>
      </c>
      <c r="B34" s="36">
        <v>423</v>
      </c>
      <c r="C34" s="36">
        <v>2061.1109999999999</v>
      </c>
      <c r="D34" s="36" t="s">
        <v>422</v>
      </c>
      <c r="E34" s="36" t="s">
        <v>422</v>
      </c>
      <c r="F34" s="36" t="s">
        <v>422</v>
      </c>
      <c r="G34" s="30"/>
      <c r="H34" s="30"/>
      <c r="I34" s="30"/>
    </row>
    <row r="35" spans="1:10">
      <c r="A35" s="30"/>
      <c r="B35" s="30"/>
      <c r="C35" s="30"/>
      <c r="D35" s="30"/>
      <c r="E35" s="30"/>
      <c r="F35" s="30"/>
      <c r="G35" s="30"/>
      <c r="H35" s="30"/>
      <c r="I35" s="30"/>
    </row>
    <row r="36" spans="1:10">
      <c r="A36" s="34" t="s">
        <v>422</v>
      </c>
      <c r="B36" s="34" t="s">
        <v>431</v>
      </c>
      <c r="C36" s="34" t="s">
        <v>416</v>
      </c>
      <c r="D36" s="34" t="s">
        <v>432</v>
      </c>
      <c r="E36" s="34" t="s">
        <v>433</v>
      </c>
      <c r="F36" s="34" t="s">
        <v>434</v>
      </c>
      <c r="G36" s="34" t="s">
        <v>435</v>
      </c>
      <c r="H36" s="34" t="s">
        <v>436</v>
      </c>
      <c r="I36" s="34" t="s">
        <v>437</v>
      </c>
      <c r="J36" t="s">
        <v>453</v>
      </c>
    </row>
    <row r="37" spans="1:10">
      <c r="A37" s="30" t="s">
        <v>438</v>
      </c>
      <c r="B37" s="30">
        <v>4.3882019999999997</v>
      </c>
      <c r="C37" s="30">
        <v>0.11067299999999999</v>
      </c>
      <c r="D37" s="30">
        <v>39.649979999999999</v>
      </c>
      <c r="E37" s="37">
        <v>2.2000000000000001E-144</v>
      </c>
      <c r="F37" s="30">
        <v>4.1706620000000001</v>
      </c>
      <c r="G37" s="30">
        <v>4.6057420000000002</v>
      </c>
      <c r="H37" s="30">
        <v>4.1706620000000001</v>
      </c>
      <c r="I37" s="30">
        <v>4.6057420000000002</v>
      </c>
    </row>
    <row r="38" spans="1:10">
      <c r="A38" s="36" t="s">
        <v>454</v>
      </c>
      <c r="B38" s="39">
        <v>1.617248</v>
      </c>
      <c r="C38" s="36">
        <v>0.33600600000000003</v>
      </c>
      <c r="D38" s="36">
        <v>4.8131449999999996</v>
      </c>
      <c r="E38" s="40">
        <v>2.0700000000000001E-6</v>
      </c>
      <c r="F38" s="36">
        <v>0.956793</v>
      </c>
      <c r="G38" s="36">
        <v>2.2777020000000001</v>
      </c>
      <c r="H38" s="36">
        <v>0.956793</v>
      </c>
      <c r="I38" s="36">
        <v>2.2777020000000001</v>
      </c>
    </row>
    <row r="40" spans="1:10" s="15" customFormat="1"/>
    <row r="41" spans="1:10">
      <c r="A41" t="s">
        <v>455</v>
      </c>
    </row>
    <row r="42" spans="1:10">
      <c r="A42" s="30" t="s">
        <v>411</v>
      </c>
      <c r="B42" s="33"/>
      <c r="C42" s="30"/>
      <c r="D42" s="30"/>
      <c r="E42" s="30"/>
      <c r="F42" s="30"/>
      <c r="G42" s="30"/>
      <c r="H42" s="30"/>
      <c r="I42" s="30"/>
    </row>
    <row r="43" spans="1:10">
      <c r="A43" s="30"/>
      <c r="B43" s="30"/>
      <c r="C43" s="30"/>
      <c r="D43" s="30"/>
      <c r="E43" s="30"/>
      <c r="F43" s="30"/>
      <c r="G43" s="30"/>
      <c r="H43" s="30"/>
      <c r="I43" s="30"/>
    </row>
    <row r="44" spans="1:10">
      <c r="A44" s="34" t="s">
        <v>412</v>
      </c>
      <c r="B44" s="35"/>
      <c r="C44" s="30"/>
      <c r="D44" s="38" t="s">
        <v>456</v>
      </c>
      <c r="E44" s="38"/>
      <c r="F44" s="38"/>
      <c r="G44" s="38"/>
      <c r="H44" s="38"/>
      <c r="I44" s="30"/>
    </row>
    <row r="45" spans="1:10">
      <c r="A45" s="30" t="s">
        <v>413</v>
      </c>
      <c r="B45" s="30">
        <v>0.40212500000000001</v>
      </c>
      <c r="C45" s="30"/>
      <c r="D45" s="38" t="s">
        <v>457</v>
      </c>
      <c r="E45" s="38"/>
      <c r="F45" s="38"/>
      <c r="G45" s="38"/>
      <c r="H45" s="38"/>
      <c r="I45" s="30"/>
    </row>
    <row r="46" spans="1:10">
      <c r="A46" s="30" t="s">
        <v>414</v>
      </c>
      <c r="B46" s="30">
        <v>0.16170399999999999</v>
      </c>
      <c r="C46" s="30"/>
      <c r="D46" s="38" t="s">
        <v>458</v>
      </c>
      <c r="E46" s="38"/>
      <c r="F46" s="38"/>
      <c r="G46" s="38"/>
      <c r="H46" s="38"/>
      <c r="I46" s="30"/>
    </row>
    <row r="47" spans="1:10">
      <c r="A47" s="30" t="s">
        <v>415</v>
      </c>
      <c r="B47" s="30">
        <v>0.149642</v>
      </c>
      <c r="C47" s="30"/>
      <c r="D47" s="38"/>
      <c r="E47" s="38"/>
      <c r="F47" s="38"/>
      <c r="G47" s="38"/>
      <c r="H47" s="38"/>
      <c r="I47" s="30"/>
    </row>
    <row r="48" spans="1:10">
      <c r="A48" s="30" t="s">
        <v>416</v>
      </c>
      <c r="B48" s="30">
        <v>0.44076500000000002</v>
      </c>
      <c r="C48" s="30"/>
      <c r="D48" s="38"/>
      <c r="E48" s="38"/>
      <c r="F48" s="38"/>
      <c r="G48" s="38"/>
      <c r="H48" s="38"/>
      <c r="I48" s="30"/>
    </row>
    <row r="49" spans="1:9">
      <c r="A49" s="36" t="s">
        <v>418</v>
      </c>
      <c r="B49" s="36">
        <v>424</v>
      </c>
      <c r="C49" s="30"/>
      <c r="D49" s="30"/>
      <c r="E49" s="30"/>
      <c r="F49" s="30"/>
      <c r="G49" s="30"/>
      <c r="H49" s="30"/>
      <c r="I49" s="30"/>
    </row>
    <row r="50" spans="1:9">
      <c r="A50" s="30"/>
      <c r="B50" s="30"/>
      <c r="C50" s="30"/>
      <c r="D50" s="30"/>
      <c r="E50" s="30"/>
      <c r="F50" s="30"/>
      <c r="G50" s="30"/>
      <c r="H50" s="30"/>
      <c r="I50" s="30"/>
    </row>
    <row r="51" spans="1:9">
      <c r="A51" s="30" t="s">
        <v>421</v>
      </c>
      <c r="B51" s="30"/>
      <c r="C51" s="30"/>
      <c r="D51" s="30"/>
      <c r="E51" s="30"/>
      <c r="F51" s="30"/>
      <c r="G51" s="30"/>
      <c r="H51" s="30"/>
      <c r="I51" s="30"/>
    </row>
    <row r="52" spans="1:9">
      <c r="A52" s="34" t="s">
        <v>422</v>
      </c>
      <c r="B52" s="34" t="s">
        <v>423</v>
      </c>
      <c r="C52" s="34" t="s">
        <v>424</v>
      </c>
      <c r="D52" s="34" t="s">
        <v>425</v>
      </c>
      <c r="E52" s="34" t="s">
        <v>426</v>
      </c>
      <c r="F52" s="34" t="s">
        <v>427</v>
      </c>
      <c r="G52" s="30"/>
      <c r="H52" s="30"/>
      <c r="I52" s="30"/>
    </row>
    <row r="53" spans="1:9">
      <c r="A53" s="30" t="s">
        <v>428</v>
      </c>
      <c r="B53" s="30">
        <v>6</v>
      </c>
      <c r="C53" s="30">
        <v>15.62696</v>
      </c>
      <c r="D53" s="30">
        <v>2.6044930000000002</v>
      </c>
      <c r="E53" s="30">
        <v>13.4063</v>
      </c>
      <c r="F53" s="37">
        <v>6.4700000000000005E-14</v>
      </c>
      <c r="G53" s="30"/>
      <c r="H53" s="30"/>
      <c r="I53" s="30"/>
    </row>
    <row r="54" spans="1:9">
      <c r="A54" s="30" t="s">
        <v>429</v>
      </c>
      <c r="B54" s="30">
        <v>417</v>
      </c>
      <c r="C54" s="30">
        <v>81.012200000000007</v>
      </c>
      <c r="D54" s="30">
        <v>0.194274</v>
      </c>
      <c r="E54" s="30"/>
      <c r="F54" s="30"/>
      <c r="G54" s="30"/>
      <c r="H54" s="30"/>
      <c r="I54" s="30"/>
    </row>
    <row r="55" spans="1:9">
      <c r="A55" s="36" t="s">
        <v>430</v>
      </c>
      <c r="B55" s="36">
        <v>423</v>
      </c>
      <c r="C55" s="36">
        <v>96.639150000000001</v>
      </c>
      <c r="D55" s="36" t="s">
        <v>422</v>
      </c>
      <c r="E55" s="36" t="s">
        <v>422</v>
      </c>
      <c r="F55" s="36" t="s">
        <v>422</v>
      </c>
      <c r="G55" s="30"/>
      <c r="H55" s="30"/>
      <c r="I55" s="30"/>
    </row>
    <row r="56" spans="1:9">
      <c r="A56" s="30"/>
      <c r="B56" s="30"/>
      <c r="C56" s="30"/>
      <c r="D56" s="30"/>
      <c r="E56" s="30"/>
      <c r="F56" s="30"/>
      <c r="G56" s="30"/>
      <c r="H56" s="30"/>
      <c r="I56" s="30"/>
    </row>
    <row r="57" spans="1:9">
      <c r="A57" s="34" t="s">
        <v>422</v>
      </c>
      <c r="B57" s="34" t="s">
        <v>431</v>
      </c>
      <c r="C57" s="34" t="s">
        <v>416</v>
      </c>
      <c r="D57" s="34" t="s">
        <v>432</v>
      </c>
      <c r="E57" s="34" t="s">
        <v>433</v>
      </c>
      <c r="F57" s="34" t="s">
        <v>434</v>
      </c>
      <c r="G57" s="34" t="s">
        <v>435</v>
      </c>
      <c r="H57" s="34" t="s">
        <v>436</v>
      </c>
      <c r="I57" s="34" t="s">
        <v>437</v>
      </c>
    </row>
    <row r="58" spans="1:9">
      <c r="A58" s="30" t="s">
        <v>438</v>
      </c>
      <c r="B58" s="30">
        <v>0.44512200000000002</v>
      </c>
      <c r="C58" s="30">
        <v>2.4337000000000001E-2</v>
      </c>
      <c r="D58" s="30">
        <v>18.28979</v>
      </c>
      <c r="E58" s="37">
        <v>2.7E-55</v>
      </c>
      <c r="F58" s="30">
        <v>0.397283</v>
      </c>
      <c r="G58" s="30">
        <v>0.49296099999999998</v>
      </c>
      <c r="H58" s="30">
        <v>0.397283</v>
      </c>
      <c r="I58" s="30">
        <v>0.49296099999999998</v>
      </c>
    </row>
    <row r="59" spans="1:9">
      <c r="A59" s="30" t="s">
        <v>459</v>
      </c>
      <c r="B59" s="30">
        <v>0.55487799999999998</v>
      </c>
      <c r="C59" s="30">
        <v>0.441436</v>
      </c>
      <c r="D59" s="30">
        <v>1.256983</v>
      </c>
      <c r="E59" s="30">
        <v>0.20946300000000001</v>
      </c>
      <c r="F59" s="30">
        <v>-0.31284000000000001</v>
      </c>
      <c r="G59" s="30">
        <v>1.422596</v>
      </c>
      <c r="H59" s="30">
        <v>-0.31284000000000001</v>
      </c>
      <c r="I59" s="30">
        <v>1.422596</v>
      </c>
    </row>
    <row r="60" spans="1:9">
      <c r="A60" s="30" t="s">
        <v>460</v>
      </c>
      <c r="B60" s="30">
        <v>-0.44512000000000002</v>
      </c>
      <c r="C60" s="30">
        <v>7.7386999999999997E-2</v>
      </c>
      <c r="D60" s="30">
        <v>-5.7518700000000003</v>
      </c>
      <c r="E60" s="37">
        <v>1.7100000000000001E-8</v>
      </c>
      <c r="F60" s="30">
        <v>-0.59723999999999999</v>
      </c>
      <c r="G60" s="30">
        <v>-0.29299999999999998</v>
      </c>
      <c r="H60" s="30">
        <v>-0.59723999999999999</v>
      </c>
      <c r="I60" s="30">
        <v>-0.29299999999999998</v>
      </c>
    </row>
    <row r="61" spans="1:9">
      <c r="A61" s="30" t="s">
        <v>461</v>
      </c>
      <c r="B61" s="30">
        <v>-0.44512000000000002</v>
      </c>
      <c r="C61" s="30">
        <v>0.441436</v>
      </c>
      <c r="D61" s="30">
        <v>-1.0083500000000001</v>
      </c>
      <c r="E61" s="30">
        <v>0.31387199999999998</v>
      </c>
      <c r="F61" s="30">
        <v>-1.31284</v>
      </c>
      <c r="G61" s="30">
        <v>0.42259600000000003</v>
      </c>
      <c r="H61" s="30">
        <v>-1.31284</v>
      </c>
      <c r="I61" s="30">
        <v>0.42259600000000003</v>
      </c>
    </row>
    <row r="62" spans="1:9">
      <c r="A62" s="30" t="s">
        <v>462</v>
      </c>
      <c r="B62" s="30">
        <v>-0.44512000000000002</v>
      </c>
      <c r="C62" s="30">
        <v>0.441436</v>
      </c>
      <c r="D62" s="30">
        <v>-1.0083500000000001</v>
      </c>
      <c r="E62" s="30">
        <v>0.31387199999999998</v>
      </c>
      <c r="F62" s="30">
        <v>-1.31284</v>
      </c>
      <c r="G62" s="30">
        <v>0.42259600000000003</v>
      </c>
      <c r="H62" s="30">
        <v>-1.31284</v>
      </c>
      <c r="I62" s="30">
        <v>0.42259600000000003</v>
      </c>
    </row>
    <row r="63" spans="1:9">
      <c r="A63" s="30" t="s">
        <v>463</v>
      </c>
      <c r="B63" s="30">
        <v>-0.44512000000000002</v>
      </c>
      <c r="C63" s="30">
        <v>6.4223000000000002E-2</v>
      </c>
      <c r="D63" s="30">
        <v>-6.9309200000000004</v>
      </c>
      <c r="E63" s="37">
        <v>1.6E-11</v>
      </c>
      <c r="F63" s="30">
        <v>-0.57135999999999998</v>
      </c>
      <c r="G63" s="30">
        <v>-0.31888</v>
      </c>
      <c r="H63" s="30">
        <v>-0.57135999999999998</v>
      </c>
      <c r="I63" s="30">
        <v>-0.31888</v>
      </c>
    </row>
    <row r="64" spans="1:9">
      <c r="A64" s="36" t="s">
        <v>464</v>
      </c>
      <c r="B64" s="36">
        <v>0.55487799999999998</v>
      </c>
      <c r="C64" s="36">
        <v>0.31261699999999998</v>
      </c>
      <c r="D64" s="36">
        <v>1.7749470000000001</v>
      </c>
      <c r="E64" s="36">
        <v>7.6635999999999996E-2</v>
      </c>
      <c r="F64" s="36">
        <v>-5.9619999999999999E-2</v>
      </c>
      <c r="G64" s="36">
        <v>1.1693789999999999</v>
      </c>
      <c r="H64" s="36">
        <v>-5.9619999999999999E-2</v>
      </c>
      <c r="I64" s="36">
        <v>1.1693789999999999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67CAA-184F-4AA4-8155-85DDE5D92C94}">
  <dimension ref="A1:AY425"/>
  <sheetViews>
    <sheetView topLeftCell="O1" workbookViewId="0">
      <selection activeCell="J11" sqref="J11"/>
    </sheetView>
  </sheetViews>
  <sheetFormatPr defaultRowHeight="15"/>
  <cols>
    <col min="11" max="11" width="20.5703125" customWidth="1"/>
  </cols>
  <sheetData>
    <row r="1" spans="1:51">
      <c r="A1" s="28" t="s">
        <v>465</v>
      </c>
      <c r="B1" s="29" t="s">
        <v>466</v>
      </c>
      <c r="C1" s="29" t="s">
        <v>467</v>
      </c>
      <c r="D1" s="29" t="s">
        <v>468</v>
      </c>
      <c r="E1" s="29" t="s">
        <v>155</v>
      </c>
      <c r="F1" s="29" t="s">
        <v>469</v>
      </c>
      <c r="G1" s="29" t="s">
        <v>470</v>
      </c>
      <c r="H1" s="29" t="s">
        <v>439</v>
      </c>
      <c r="I1" s="29" t="s">
        <v>471</v>
      </c>
      <c r="J1" s="29" t="s">
        <v>472</v>
      </c>
      <c r="K1" s="29" t="s">
        <v>473</v>
      </c>
      <c r="L1" s="29" t="s">
        <v>474</v>
      </c>
      <c r="M1" s="29" t="s">
        <v>475</v>
      </c>
      <c r="N1" s="29" t="s">
        <v>476</v>
      </c>
      <c r="O1" s="29" t="s">
        <v>477</v>
      </c>
      <c r="P1" s="29" t="s">
        <v>478</v>
      </c>
      <c r="Q1" s="29" t="s">
        <v>479</v>
      </c>
      <c r="R1" s="29" t="s">
        <v>480</v>
      </c>
      <c r="S1" s="29" t="s">
        <v>481</v>
      </c>
      <c r="T1" s="29" t="s">
        <v>482</v>
      </c>
      <c r="U1" s="29" t="s">
        <v>483</v>
      </c>
      <c r="V1" s="29" t="s">
        <v>484</v>
      </c>
      <c r="W1" s="29" t="s">
        <v>485</v>
      </c>
      <c r="X1" s="29" t="s">
        <v>486</v>
      </c>
      <c r="Y1" s="29" t="s">
        <v>487</v>
      </c>
      <c r="Z1" s="29" t="s">
        <v>488</v>
      </c>
      <c r="AA1" s="29" t="s">
        <v>489</v>
      </c>
      <c r="AB1" s="29" t="s">
        <v>490</v>
      </c>
      <c r="AC1" s="29" t="s">
        <v>491</v>
      </c>
      <c r="AD1" s="29" t="s">
        <v>492</v>
      </c>
      <c r="AE1" s="29" t="s">
        <v>493</v>
      </c>
      <c r="AF1" s="29" t="s">
        <v>494</v>
      </c>
      <c r="AG1" s="29" t="s">
        <v>495</v>
      </c>
      <c r="AH1" s="29" t="s">
        <v>496</v>
      </c>
      <c r="AI1" s="29" t="s">
        <v>497</v>
      </c>
      <c r="AJ1" s="29" t="s">
        <v>498</v>
      </c>
      <c r="AK1" s="29" t="s">
        <v>459</v>
      </c>
      <c r="AL1" s="29" t="s">
        <v>460</v>
      </c>
      <c r="AM1" s="29" t="s">
        <v>461</v>
      </c>
      <c r="AN1" s="29" t="s">
        <v>462</v>
      </c>
      <c r="AO1" s="29" t="s">
        <v>463</v>
      </c>
      <c r="AP1" s="29" t="s">
        <v>464</v>
      </c>
      <c r="AQ1" s="29" t="s">
        <v>499</v>
      </c>
      <c r="AR1" s="29" t="s">
        <v>500</v>
      </c>
      <c r="AS1" s="29" t="s">
        <v>501</v>
      </c>
      <c r="AT1" s="29" t="s">
        <v>502</v>
      </c>
      <c r="AU1" s="29" t="s">
        <v>503</v>
      </c>
      <c r="AV1" s="29" t="s">
        <v>504</v>
      </c>
      <c r="AW1" s="29" t="s">
        <v>505</v>
      </c>
      <c r="AX1" s="29" t="s">
        <v>506</v>
      </c>
      <c r="AY1" s="29" t="s">
        <v>507</v>
      </c>
    </row>
    <row r="2" spans="1:51">
      <c r="A2" s="30" t="s">
        <v>508</v>
      </c>
      <c r="B2" s="30" t="s">
        <v>509</v>
      </c>
      <c r="C2" s="30">
        <v>120</v>
      </c>
      <c r="D2" s="30">
        <v>69</v>
      </c>
      <c r="E2" s="30">
        <v>21747</v>
      </c>
      <c r="F2" s="30" t="s">
        <v>508</v>
      </c>
      <c r="G2" s="30" t="s">
        <v>510</v>
      </c>
      <c r="H2" s="30">
        <v>4.7874920000000003</v>
      </c>
      <c r="I2" s="30">
        <v>4.2341069999999998</v>
      </c>
      <c r="J2" s="30">
        <v>0</v>
      </c>
      <c r="K2" s="30">
        <v>0</v>
      </c>
      <c r="L2" s="30">
        <v>1</v>
      </c>
      <c r="M2" s="30">
        <v>0</v>
      </c>
      <c r="N2" s="30">
        <v>0</v>
      </c>
      <c r="O2" s="30">
        <v>0</v>
      </c>
      <c r="P2" s="30">
        <v>0</v>
      </c>
      <c r="Q2" s="30">
        <v>1</v>
      </c>
      <c r="R2" s="30">
        <v>0</v>
      </c>
      <c r="S2" s="30">
        <v>0</v>
      </c>
      <c r="T2" s="30">
        <v>0</v>
      </c>
      <c r="U2" s="30">
        <v>0</v>
      </c>
      <c r="V2" s="30">
        <v>0</v>
      </c>
      <c r="W2" s="30">
        <v>0</v>
      </c>
      <c r="X2" s="30">
        <v>0</v>
      </c>
      <c r="Y2" s="30">
        <v>0</v>
      </c>
      <c r="Z2" s="30">
        <v>0</v>
      </c>
      <c r="AA2" s="30">
        <v>0</v>
      </c>
      <c r="AB2" s="30">
        <v>0</v>
      </c>
      <c r="AC2" s="30">
        <v>0</v>
      </c>
      <c r="AD2" s="30">
        <v>0</v>
      </c>
      <c r="AE2" s="30">
        <v>0</v>
      </c>
      <c r="AF2" s="30">
        <v>0</v>
      </c>
      <c r="AG2" s="30">
        <v>0</v>
      </c>
      <c r="AH2" s="30">
        <v>0</v>
      </c>
      <c r="AI2" s="30">
        <v>0</v>
      </c>
      <c r="AJ2" s="30">
        <v>0</v>
      </c>
      <c r="AK2" s="30">
        <v>0</v>
      </c>
      <c r="AL2" s="30">
        <v>0</v>
      </c>
      <c r="AM2" s="30">
        <v>0</v>
      </c>
      <c r="AN2" s="30">
        <v>0</v>
      </c>
      <c r="AO2" s="30">
        <v>0</v>
      </c>
      <c r="AP2" s="30">
        <v>0</v>
      </c>
      <c r="AQ2" s="30">
        <v>0</v>
      </c>
      <c r="AR2" s="30">
        <v>0</v>
      </c>
      <c r="AS2" s="30">
        <v>0</v>
      </c>
      <c r="AT2" s="30">
        <v>0</v>
      </c>
      <c r="AU2" s="30">
        <v>0</v>
      </c>
      <c r="AV2" s="30">
        <v>0</v>
      </c>
      <c r="AW2" s="30">
        <v>0</v>
      </c>
      <c r="AX2" s="30">
        <v>0</v>
      </c>
      <c r="AY2" s="30">
        <v>0</v>
      </c>
    </row>
    <row r="3" spans="1:51">
      <c r="A3" s="30" t="s">
        <v>508</v>
      </c>
      <c r="B3" s="30" t="s">
        <v>511</v>
      </c>
      <c r="C3" s="30">
        <v>95</v>
      </c>
      <c r="D3" s="30">
        <v>48</v>
      </c>
      <c r="E3" s="30">
        <v>16071.72</v>
      </c>
      <c r="F3" s="30" t="s">
        <v>508</v>
      </c>
      <c r="G3" s="30" t="s">
        <v>512</v>
      </c>
      <c r="H3" s="30">
        <v>4.553877</v>
      </c>
      <c r="I3" s="30">
        <v>3.8712010000000001</v>
      </c>
      <c r="J3" s="30">
        <v>0</v>
      </c>
      <c r="K3" s="30">
        <v>0</v>
      </c>
      <c r="L3" s="30">
        <v>1</v>
      </c>
      <c r="M3" s="30">
        <v>0</v>
      </c>
      <c r="N3" s="30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30">
        <v>0</v>
      </c>
      <c r="U3" s="30">
        <v>0</v>
      </c>
      <c r="V3" s="30">
        <v>0</v>
      </c>
      <c r="W3" s="30">
        <v>0</v>
      </c>
      <c r="X3" s="30">
        <v>0</v>
      </c>
      <c r="Y3" s="30">
        <v>0</v>
      </c>
      <c r="Z3" s="30">
        <v>0</v>
      </c>
      <c r="AA3" s="30">
        <v>0</v>
      </c>
      <c r="AB3" s="30">
        <v>0</v>
      </c>
      <c r="AC3" s="30">
        <v>0</v>
      </c>
      <c r="AD3" s="30">
        <v>0</v>
      </c>
      <c r="AE3" s="30">
        <v>0</v>
      </c>
      <c r="AF3" s="30">
        <v>1</v>
      </c>
      <c r="AG3" s="30">
        <v>0</v>
      </c>
      <c r="AH3" s="30">
        <v>0</v>
      </c>
      <c r="AI3" s="30">
        <v>0</v>
      </c>
      <c r="AJ3" s="30">
        <v>0</v>
      </c>
      <c r="AK3" s="30">
        <v>0</v>
      </c>
      <c r="AL3" s="30">
        <v>0</v>
      </c>
      <c r="AM3" s="30">
        <v>0</v>
      </c>
      <c r="AN3" s="30">
        <v>0</v>
      </c>
      <c r="AO3" s="30">
        <v>0</v>
      </c>
      <c r="AP3" s="30">
        <v>0</v>
      </c>
      <c r="AQ3" s="30">
        <v>0</v>
      </c>
      <c r="AR3" s="30">
        <v>0</v>
      </c>
      <c r="AS3" s="30">
        <v>0</v>
      </c>
      <c r="AT3" s="30">
        <v>0</v>
      </c>
      <c r="AU3" s="30">
        <v>0</v>
      </c>
      <c r="AV3" s="30">
        <v>0</v>
      </c>
      <c r="AW3" s="30">
        <v>0</v>
      </c>
      <c r="AX3" s="30">
        <v>0</v>
      </c>
      <c r="AY3" s="30">
        <v>0</v>
      </c>
    </row>
    <row r="4" spans="1:51">
      <c r="A4" s="30" t="s">
        <v>508</v>
      </c>
      <c r="B4" s="30" t="s">
        <v>513</v>
      </c>
      <c r="C4" s="30">
        <v>95</v>
      </c>
      <c r="D4" s="30">
        <v>25</v>
      </c>
      <c r="E4" s="30">
        <v>8020</v>
      </c>
      <c r="F4" s="30" t="s">
        <v>508</v>
      </c>
      <c r="G4" s="30" t="s">
        <v>514</v>
      </c>
      <c r="H4" s="30">
        <v>4.553877</v>
      </c>
      <c r="I4" s="30">
        <v>3.2188759999999998</v>
      </c>
      <c r="J4" s="30">
        <v>0</v>
      </c>
      <c r="K4" s="30">
        <v>0</v>
      </c>
      <c r="L4" s="30">
        <v>1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>
        <v>0</v>
      </c>
      <c r="Y4" s="30">
        <v>0</v>
      </c>
      <c r="Z4" s="30">
        <v>0</v>
      </c>
      <c r="AA4" s="30">
        <v>0</v>
      </c>
      <c r="AB4" s="30">
        <v>0</v>
      </c>
      <c r="AC4" s="30">
        <v>0</v>
      </c>
      <c r="AD4" s="30">
        <v>0</v>
      </c>
      <c r="AE4" s="30">
        <v>0</v>
      </c>
      <c r="AF4" s="30">
        <v>0</v>
      </c>
      <c r="AG4" s="30">
        <v>0</v>
      </c>
      <c r="AH4" s="30">
        <v>0</v>
      </c>
      <c r="AI4" s="30">
        <v>1</v>
      </c>
      <c r="AJ4" s="30">
        <v>0</v>
      </c>
      <c r="AK4" s="30">
        <v>0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</row>
    <row r="5" spans="1:51">
      <c r="A5" s="30" t="s">
        <v>508</v>
      </c>
      <c r="B5" s="30" t="s">
        <v>515</v>
      </c>
      <c r="C5" s="30">
        <v>120</v>
      </c>
      <c r="D5" s="30">
        <v>90</v>
      </c>
      <c r="E5" s="30">
        <v>34169.800000000003</v>
      </c>
      <c r="F5" s="30" t="s">
        <v>508</v>
      </c>
      <c r="G5" s="30" t="s">
        <v>516</v>
      </c>
      <c r="H5" s="30">
        <v>4.7874920000000003</v>
      </c>
      <c r="I5" s="30">
        <v>4.4998100000000001</v>
      </c>
      <c r="J5" s="30">
        <v>0</v>
      </c>
      <c r="K5" s="30">
        <v>0</v>
      </c>
      <c r="L5" s="30">
        <v>1</v>
      </c>
      <c r="M5" s="30">
        <v>0</v>
      </c>
      <c r="N5" s="30">
        <v>0</v>
      </c>
      <c r="O5" s="30">
        <v>0</v>
      </c>
      <c r="P5" s="30">
        <v>1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</row>
    <row r="6" spans="1:51">
      <c r="A6" s="30" t="s">
        <v>508</v>
      </c>
      <c r="B6" s="30" t="s">
        <v>517</v>
      </c>
      <c r="C6" s="30">
        <v>95</v>
      </c>
      <c r="D6" s="30">
        <v>40</v>
      </c>
      <c r="E6" s="30">
        <v>15544</v>
      </c>
      <c r="F6" s="30" t="s">
        <v>508</v>
      </c>
      <c r="G6" s="30" t="s">
        <v>512</v>
      </c>
      <c r="H6" s="30">
        <v>4.553877</v>
      </c>
      <c r="I6" s="30">
        <v>3.688879</v>
      </c>
      <c r="J6" s="30">
        <v>0</v>
      </c>
      <c r="K6" s="30">
        <v>0</v>
      </c>
      <c r="L6" s="30">
        <v>1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1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</row>
    <row r="7" spans="1:51">
      <c r="A7" s="30" t="s">
        <v>508</v>
      </c>
      <c r="B7" s="30" t="s">
        <v>518</v>
      </c>
      <c r="C7" s="30">
        <v>95</v>
      </c>
      <c r="D7" s="30">
        <v>16</v>
      </c>
      <c r="E7" s="30">
        <v>7095</v>
      </c>
      <c r="F7" s="30" t="s">
        <v>508</v>
      </c>
      <c r="G7" s="30" t="s">
        <v>514</v>
      </c>
      <c r="H7" s="30">
        <v>4.553877</v>
      </c>
      <c r="I7" s="30">
        <v>2.772589</v>
      </c>
      <c r="J7" s="30">
        <v>0</v>
      </c>
      <c r="K7" s="30">
        <v>0</v>
      </c>
      <c r="L7" s="30">
        <v>1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1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</row>
    <row r="8" spans="1:51">
      <c r="A8" s="30" t="s">
        <v>508</v>
      </c>
      <c r="B8" s="30" t="s">
        <v>519</v>
      </c>
      <c r="C8" s="30">
        <v>35</v>
      </c>
      <c r="D8" s="30">
        <v>36</v>
      </c>
      <c r="E8" s="30">
        <v>6938</v>
      </c>
      <c r="F8" s="30" t="s">
        <v>508</v>
      </c>
      <c r="G8" s="30" t="s">
        <v>520</v>
      </c>
      <c r="H8" s="30">
        <v>3.555348</v>
      </c>
      <c r="I8" s="30">
        <v>3.5835189999999999</v>
      </c>
      <c r="J8" s="30">
        <v>0</v>
      </c>
      <c r="K8" s="30">
        <v>0</v>
      </c>
      <c r="L8" s="30">
        <v>1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1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</row>
    <row r="9" spans="1:51">
      <c r="A9" s="30" t="s">
        <v>508</v>
      </c>
      <c r="B9" s="30" t="s">
        <v>521</v>
      </c>
      <c r="C9" s="30">
        <v>120</v>
      </c>
      <c r="D9" s="30">
        <v>27</v>
      </c>
      <c r="E9" s="30">
        <v>11229.45</v>
      </c>
      <c r="F9" s="30" t="s">
        <v>508</v>
      </c>
      <c r="G9" s="30" t="s">
        <v>364</v>
      </c>
      <c r="H9" s="30">
        <v>4.7874920000000003</v>
      </c>
      <c r="I9" s="30">
        <v>3.2958370000000001</v>
      </c>
      <c r="J9" s="30">
        <v>0</v>
      </c>
      <c r="K9" s="30">
        <v>0</v>
      </c>
      <c r="L9" s="30">
        <v>1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1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</row>
    <row r="10" spans="1:51">
      <c r="A10" s="30" t="s">
        <v>508</v>
      </c>
      <c r="B10" s="30" t="s">
        <v>522</v>
      </c>
      <c r="C10" s="30">
        <v>120</v>
      </c>
      <c r="D10" s="30">
        <v>20</v>
      </c>
      <c r="E10" s="30">
        <v>9555</v>
      </c>
      <c r="F10" s="30" t="s">
        <v>508</v>
      </c>
      <c r="G10" s="30" t="s">
        <v>364</v>
      </c>
      <c r="H10" s="30">
        <v>4.7874920000000003</v>
      </c>
      <c r="I10" s="30">
        <v>2.9957319999999998</v>
      </c>
      <c r="J10" s="30">
        <v>0</v>
      </c>
      <c r="K10" s="30">
        <v>0</v>
      </c>
      <c r="L10" s="30">
        <v>1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30">
        <v>0</v>
      </c>
      <c r="AG10" s="30">
        <v>0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1</v>
      </c>
      <c r="AR10" s="30">
        <v>0</v>
      </c>
      <c r="AS10" s="30">
        <v>0</v>
      </c>
      <c r="AT10" s="30">
        <v>0</v>
      </c>
      <c r="AU10" s="30">
        <v>0</v>
      </c>
      <c r="AV10" s="30">
        <v>0</v>
      </c>
      <c r="AW10" s="30">
        <v>0</v>
      </c>
      <c r="AX10" s="30">
        <v>0</v>
      </c>
      <c r="AY10" s="30">
        <v>0</v>
      </c>
    </row>
    <row r="11" spans="1:51">
      <c r="A11" s="30" t="s">
        <v>508</v>
      </c>
      <c r="B11" s="30" t="s">
        <v>523</v>
      </c>
      <c r="C11" s="30">
        <v>105</v>
      </c>
      <c r="D11" s="30">
        <v>44</v>
      </c>
      <c r="E11" s="30">
        <v>17092.5</v>
      </c>
      <c r="F11" s="30" t="s">
        <v>508</v>
      </c>
      <c r="G11" s="30" t="s">
        <v>524</v>
      </c>
      <c r="H11" s="30">
        <v>4.6539599999999997</v>
      </c>
      <c r="I11" s="30">
        <v>3.7841900000000002</v>
      </c>
      <c r="J11" s="30">
        <v>0</v>
      </c>
      <c r="K11" s="30">
        <v>0</v>
      </c>
      <c r="L11" s="30">
        <v>1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1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</v>
      </c>
      <c r="AJ11" s="30">
        <v>0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</row>
    <row r="12" spans="1:51">
      <c r="A12" s="30" t="s">
        <v>508</v>
      </c>
      <c r="B12" s="30" t="s">
        <v>525</v>
      </c>
      <c r="C12" s="30">
        <v>35</v>
      </c>
      <c r="D12" s="30">
        <v>26</v>
      </c>
      <c r="E12" s="30">
        <v>3933.5</v>
      </c>
      <c r="F12" s="30" t="s">
        <v>508</v>
      </c>
      <c r="G12" s="30" t="s">
        <v>526</v>
      </c>
      <c r="H12" s="30">
        <v>3.555348</v>
      </c>
      <c r="I12" s="30">
        <v>3.2580969999999998</v>
      </c>
      <c r="J12" s="30">
        <v>0</v>
      </c>
      <c r="K12" s="30">
        <v>0</v>
      </c>
      <c r="L12" s="30">
        <v>1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1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</row>
    <row r="13" spans="1:51">
      <c r="A13" s="30" t="s">
        <v>508</v>
      </c>
      <c r="B13" s="30" t="s">
        <v>527</v>
      </c>
      <c r="C13" s="30">
        <v>65</v>
      </c>
      <c r="D13" s="30">
        <v>37</v>
      </c>
      <c r="E13" s="30">
        <v>10559.75</v>
      </c>
      <c r="F13" s="30" t="s">
        <v>508</v>
      </c>
      <c r="G13" s="30" t="s">
        <v>528</v>
      </c>
      <c r="H13" s="30">
        <v>4.1743870000000003</v>
      </c>
      <c r="I13" s="30">
        <v>3.6109179999999999</v>
      </c>
      <c r="J13" s="30">
        <v>0</v>
      </c>
      <c r="K13" s="30">
        <v>0</v>
      </c>
      <c r="L13" s="30">
        <v>1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1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</row>
    <row r="14" spans="1:51">
      <c r="A14" s="30" t="s">
        <v>508</v>
      </c>
      <c r="B14" s="30" t="s">
        <v>529</v>
      </c>
      <c r="C14" s="30">
        <v>35</v>
      </c>
      <c r="D14" s="30">
        <v>43</v>
      </c>
      <c r="E14" s="30">
        <v>8483.5</v>
      </c>
      <c r="F14" s="30" t="s">
        <v>508</v>
      </c>
      <c r="G14" s="30" t="s">
        <v>530</v>
      </c>
      <c r="H14" s="30">
        <v>3.555348</v>
      </c>
      <c r="I14" s="30">
        <v>3.7612000000000001</v>
      </c>
      <c r="J14" s="30">
        <v>0</v>
      </c>
      <c r="K14" s="30">
        <v>0</v>
      </c>
      <c r="L14" s="30">
        <v>1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1</v>
      </c>
      <c r="AY14" s="30">
        <v>0</v>
      </c>
    </row>
    <row r="15" spans="1:51">
      <c r="A15" s="30" t="s">
        <v>508</v>
      </c>
      <c r="B15" s="30" t="s">
        <v>531</v>
      </c>
      <c r="C15" s="30">
        <v>120</v>
      </c>
      <c r="D15" s="30">
        <v>38</v>
      </c>
      <c r="E15" s="30">
        <v>8483.5</v>
      </c>
      <c r="F15" s="30" t="s">
        <v>508</v>
      </c>
      <c r="G15" s="30" t="s">
        <v>516</v>
      </c>
      <c r="H15" s="30">
        <v>4.7874920000000003</v>
      </c>
      <c r="I15" s="30">
        <v>3.6375860000000002</v>
      </c>
      <c r="J15" s="30">
        <v>0</v>
      </c>
      <c r="K15" s="30">
        <v>0</v>
      </c>
      <c r="L15" s="30">
        <v>1</v>
      </c>
      <c r="M15" s="30">
        <v>0</v>
      </c>
      <c r="N15" s="30">
        <v>0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0</v>
      </c>
      <c r="AR15" s="30">
        <v>0</v>
      </c>
      <c r="AS15" s="30">
        <v>0</v>
      </c>
      <c r="AT15" s="30">
        <v>0</v>
      </c>
      <c r="AU15" s="30">
        <v>0</v>
      </c>
      <c r="AV15" s="30">
        <v>0</v>
      </c>
      <c r="AW15" s="30">
        <v>0</v>
      </c>
      <c r="AX15" s="30">
        <v>0</v>
      </c>
      <c r="AY15" s="30">
        <v>0</v>
      </c>
    </row>
    <row r="16" spans="1:51">
      <c r="A16" s="30" t="s">
        <v>508</v>
      </c>
      <c r="B16" s="30" t="s">
        <v>532</v>
      </c>
      <c r="C16" s="30">
        <v>130</v>
      </c>
      <c r="D16" s="30">
        <v>41</v>
      </c>
      <c r="E16" s="30">
        <v>17418</v>
      </c>
      <c r="F16" s="30" t="s">
        <v>508</v>
      </c>
      <c r="G16" s="30" t="s">
        <v>516</v>
      </c>
      <c r="H16" s="30">
        <v>4.867534</v>
      </c>
      <c r="I16" s="30">
        <v>3.7135720000000001</v>
      </c>
      <c r="J16" s="30">
        <v>0</v>
      </c>
      <c r="K16" s="30">
        <v>0</v>
      </c>
      <c r="L16" s="30">
        <v>1</v>
      </c>
      <c r="M16" s="30">
        <v>0</v>
      </c>
      <c r="N16" s="30">
        <v>0</v>
      </c>
      <c r="O16" s="30">
        <v>0</v>
      </c>
      <c r="P16" s="30">
        <v>1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30">
        <v>0</v>
      </c>
      <c r="AO16" s="30">
        <v>0</v>
      </c>
      <c r="AP16" s="30">
        <v>0</v>
      </c>
      <c r="AQ16" s="30">
        <v>0</v>
      </c>
      <c r="AR16" s="30">
        <v>0</v>
      </c>
      <c r="AS16" s="30">
        <v>0</v>
      </c>
      <c r="AT16" s="30">
        <v>0</v>
      </c>
      <c r="AU16" s="30">
        <v>0</v>
      </c>
      <c r="AV16" s="30">
        <v>0</v>
      </c>
      <c r="AW16" s="30">
        <v>0</v>
      </c>
      <c r="AX16" s="30">
        <v>0</v>
      </c>
      <c r="AY16" s="30">
        <v>0</v>
      </c>
    </row>
    <row r="17" spans="1:51">
      <c r="A17" s="30" t="s">
        <v>508</v>
      </c>
      <c r="B17" s="30" t="s">
        <v>533</v>
      </c>
      <c r="C17" s="30">
        <v>90</v>
      </c>
      <c r="D17" s="30">
        <v>23</v>
      </c>
      <c r="E17" s="30">
        <v>20326</v>
      </c>
      <c r="F17" s="30" t="s">
        <v>508</v>
      </c>
      <c r="G17" s="30" t="s">
        <v>339</v>
      </c>
      <c r="H17" s="30">
        <v>4.4998100000000001</v>
      </c>
      <c r="I17" s="30">
        <v>3.135494</v>
      </c>
      <c r="J17" s="30">
        <v>0</v>
      </c>
      <c r="K17" s="30">
        <v>0</v>
      </c>
      <c r="L17" s="30">
        <v>1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1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30">
        <v>0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  <c r="AV17" s="30">
        <v>0</v>
      </c>
      <c r="AW17" s="30">
        <v>0</v>
      </c>
      <c r="AX17" s="30">
        <v>0</v>
      </c>
      <c r="AY17" s="30">
        <v>0</v>
      </c>
    </row>
    <row r="18" spans="1:51">
      <c r="A18" s="30" t="s">
        <v>508</v>
      </c>
      <c r="B18" s="30" t="s">
        <v>534</v>
      </c>
      <c r="C18" s="30">
        <v>130</v>
      </c>
      <c r="D18" s="30">
        <v>68</v>
      </c>
      <c r="E18" s="30">
        <v>8049.5</v>
      </c>
      <c r="F18" s="30" t="s">
        <v>508</v>
      </c>
      <c r="G18" s="30" t="s">
        <v>516</v>
      </c>
      <c r="H18" s="30">
        <v>4.867534</v>
      </c>
      <c r="I18" s="30">
        <v>4.2195080000000003</v>
      </c>
      <c r="J18" s="30">
        <v>0</v>
      </c>
      <c r="K18" s="30">
        <v>0</v>
      </c>
      <c r="L18" s="30">
        <v>1</v>
      </c>
      <c r="M18" s="30">
        <v>0</v>
      </c>
      <c r="N18" s="30">
        <v>0</v>
      </c>
      <c r="O18" s="30">
        <v>0</v>
      </c>
      <c r="P18" s="30">
        <v>1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30">
        <v>0</v>
      </c>
      <c r="AH18" s="30">
        <v>0</v>
      </c>
      <c r="AI18" s="30">
        <v>0</v>
      </c>
      <c r="AJ18" s="30">
        <v>0</v>
      </c>
      <c r="AK18" s="30">
        <v>0</v>
      </c>
      <c r="AL18" s="30">
        <v>0</v>
      </c>
      <c r="AM18" s="30">
        <v>0</v>
      </c>
      <c r="AN18" s="30">
        <v>0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  <c r="AV18" s="30">
        <v>0</v>
      </c>
      <c r="AW18" s="30">
        <v>0</v>
      </c>
      <c r="AX18" s="30">
        <v>0</v>
      </c>
      <c r="AY18" s="30">
        <v>0</v>
      </c>
    </row>
    <row r="19" spans="1:51">
      <c r="A19" s="30" t="s">
        <v>508</v>
      </c>
      <c r="B19" s="30" t="s">
        <v>535</v>
      </c>
      <c r="C19" s="30">
        <v>90</v>
      </c>
      <c r="D19" s="30">
        <v>34</v>
      </c>
      <c r="E19" s="30">
        <v>22429</v>
      </c>
      <c r="F19" s="30" t="s">
        <v>508</v>
      </c>
      <c r="G19" s="30" t="s">
        <v>339</v>
      </c>
      <c r="H19" s="30">
        <v>4.4998100000000001</v>
      </c>
      <c r="I19" s="30">
        <v>3.5263610000000001</v>
      </c>
      <c r="J19" s="30">
        <v>0</v>
      </c>
      <c r="K19" s="30">
        <v>0</v>
      </c>
      <c r="L19" s="30">
        <v>1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1</v>
      </c>
      <c r="AI19" s="30">
        <v>0</v>
      </c>
      <c r="AJ19" s="30">
        <v>0</v>
      </c>
      <c r="AK19" s="30">
        <v>0</v>
      </c>
      <c r="AL19" s="30">
        <v>0</v>
      </c>
      <c r="AM19" s="30">
        <v>0</v>
      </c>
      <c r="AN19" s="30">
        <v>0</v>
      </c>
      <c r="AO19" s="30">
        <v>0</v>
      </c>
      <c r="AP19" s="30">
        <v>0</v>
      </c>
      <c r="AQ19" s="30">
        <v>0</v>
      </c>
      <c r="AR19" s="30">
        <v>0</v>
      </c>
      <c r="AS19" s="30">
        <v>0</v>
      </c>
      <c r="AT19" s="30">
        <v>0</v>
      </c>
      <c r="AU19" s="30">
        <v>0</v>
      </c>
      <c r="AV19" s="30">
        <v>0</v>
      </c>
      <c r="AW19" s="30">
        <v>0</v>
      </c>
      <c r="AX19" s="30">
        <v>0</v>
      </c>
      <c r="AY19" s="30">
        <v>0</v>
      </c>
    </row>
    <row r="20" spans="1:51">
      <c r="A20" s="30" t="s">
        <v>508</v>
      </c>
      <c r="B20" s="30" t="s">
        <v>536</v>
      </c>
      <c r="C20" s="30">
        <v>80</v>
      </c>
      <c r="D20" s="30">
        <v>55</v>
      </c>
      <c r="E20" s="30">
        <v>15055</v>
      </c>
      <c r="F20" s="30" t="s">
        <v>508</v>
      </c>
      <c r="G20" s="30" t="s">
        <v>537</v>
      </c>
      <c r="H20" s="30">
        <v>4.3820269999999999</v>
      </c>
      <c r="I20" s="30">
        <v>4.007333</v>
      </c>
      <c r="J20" s="30">
        <v>0</v>
      </c>
      <c r="K20" s="30">
        <v>0</v>
      </c>
      <c r="L20" s="30">
        <v>1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1</v>
      </c>
      <c r="AF20" s="30">
        <v>0</v>
      </c>
      <c r="AG20" s="30">
        <v>0</v>
      </c>
      <c r="AH20" s="30">
        <v>0</v>
      </c>
      <c r="AI20" s="30">
        <v>0</v>
      </c>
      <c r="AJ20" s="30">
        <v>0</v>
      </c>
      <c r="AK20" s="30">
        <v>0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</row>
    <row r="21" spans="1:51">
      <c r="A21" s="30" t="s">
        <v>508</v>
      </c>
      <c r="B21" s="30" t="s">
        <v>538</v>
      </c>
      <c r="C21" s="30">
        <v>40</v>
      </c>
      <c r="D21" s="30">
        <v>40</v>
      </c>
      <c r="E21" s="30">
        <v>15719</v>
      </c>
      <c r="F21" s="30" t="s">
        <v>508</v>
      </c>
      <c r="G21" s="30" t="s">
        <v>539</v>
      </c>
      <c r="H21" s="30">
        <v>3.688879</v>
      </c>
      <c r="I21" s="30">
        <v>3.688879</v>
      </c>
      <c r="J21" s="30">
        <v>0</v>
      </c>
      <c r="K21" s="30">
        <v>0</v>
      </c>
      <c r="L21" s="30">
        <v>1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1</v>
      </c>
      <c r="AD21" s="30">
        <v>0</v>
      </c>
      <c r="AE21" s="30">
        <v>0</v>
      </c>
      <c r="AF21" s="30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0">
        <v>0</v>
      </c>
      <c r="AO21" s="30">
        <v>0</v>
      </c>
      <c r="AP21" s="30">
        <v>0</v>
      </c>
      <c r="AQ21" s="30">
        <v>0</v>
      </c>
      <c r="AR21" s="30">
        <v>0</v>
      </c>
      <c r="AS21" s="30">
        <v>0</v>
      </c>
      <c r="AT21" s="30">
        <v>0</v>
      </c>
      <c r="AU21" s="30">
        <v>0</v>
      </c>
      <c r="AV21" s="30">
        <v>0</v>
      </c>
      <c r="AW21" s="30">
        <v>0</v>
      </c>
      <c r="AX21" s="30">
        <v>0</v>
      </c>
      <c r="AY21" s="30">
        <v>0</v>
      </c>
    </row>
    <row r="22" spans="1:51">
      <c r="A22" s="30" t="s">
        <v>508</v>
      </c>
      <c r="B22" s="30" t="s">
        <v>540</v>
      </c>
      <c r="C22" s="30">
        <v>130</v>
      </c>
      <c r="D22" s="30">
        <v>85</v>
      </c>
      <c r="E22" s="30">
        <v>7228</v>
      </c>
      <c r="F22" s="30" t="s">
        <v>508</v>
      </c>
      <c r="G22" s="30" t="s">
        <v>516</v>
      </c>
      <c r="H22" s="30">
        <v>4.867534</v>
      </c>
      <c r="I22" s="30">
        <v>4.4426509999999997</v>
      </c>
      <c r="J22" s="30">
        <v>0</v>
      </c>
      <c r="K22" s="30">
        <v>0</v>
      </c>
      <c r="L22" s="30">
        <v>1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0">
        <v>0</v>
      </c>
      <c r="AO22" s="30">
        <v>0</v>
      </c>
      <c r="AP22" s="30">
        <v>0</v>
      </c>
      <c r="AQ22" s="30">
        <v>0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</row>
    <row r="23" spans="1:51">
      <c r="A23" s="30" t="s">
        <v>508</v>
      </c>
      <c r="B23" s="30" t="s">
        <v>541</v>
      </c>
      <c r="C23" s="30">
        <v>90</v>
      </c>
      <c r="D23" s="30">
        <v>38</v>
      </c>
      <c r="E23" s="30">
        <v>38091</v>
      </c>
      <c r="F23" s="30" t="s">
        <v>508</v>
      </c>
      <c r="G23" s="30" t="s">
        <v>339</v>
      </c>
      <c r="H23" s="30">
        <v>4.4998100000000001</v>
      </c>
      <c r="I23" s="30">
        <v>3.6375860000000002</v>
      </c>
      <c r="J23" s="30">
        <v>0</v>
      </c>
      <c r="K23" s="30">
        <v>0</v>
      </c>
      <c r="L23" s="30">
        <v>1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0</v>
      </c>
      <c r="AF23" s="30">
        <v>0</v>
      </c>
      <c r="AG23" s="30">
        <v>0</v>
      </c>
      <c r="AH23" s="30">
        <v>1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0">
        <v>0</v>
      </c>
      <c r="AO23" s="30">
        <v>0</v>
      </c>
      <c r="AP23" s="30">
        <v>0</v>
      </c>
      <c r="AQ23" s="30">
        <v>0</v>
      </c>
      <c r="AR23" s="30">
        <v>0</v>
      </c>
      <c r="AS23" s="30">
        <v>0</v>
      </c>
      <c r="AT23" s="30">
        <v>0</v>
      </c>
      <c r="AU23" s="30">
        <v>0</v>
      </c>
      <c r="AV23" s="30">
        <v>0</v>
      </c>
      <c r="AW23" s="30">
        <v>0</v>
      </c>
      <c r="AX23" s="30">
        <v>0</v>
      </c>
      <c r="AY23" s="30">
        <v>0</v>
      </c>
    </row>
    <row r="24" spans="1:51">
      <c r="A24" s="30" t="s">
        <v>508</v>
      </c>
      <c r="B24" s="30" t="s">
        <v>542</v>
      </c>
      <c r="C24" s="30">
        <v>80</v>
      </c>
      <c r="D24" s="30">
        <v>38</v>
      </c>
      <c r="E24" s="30">
        <v>15484.25</v>
      </c>
      <c r="F24" s="30" t="s">
        <v>508</v>
      </c>
      <c r="G24" s="30" t="s">
        <v>537</v>
      </c>
      <c r="H24" s="30">
        <v>4.3820269999999999</v>
      </c>
      <c r="I24" s="30">
        <v>3.6375860000000002</v>
      </c>
      <c r="J24" s="30">
        <v>0</v>
      </c>
      <c r="K24" s="30">
        <v>0</v>
      </c>
      <c r="L24" s="30">
        <v>1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1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0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0</v>
      </c>
      <c r="AU24" s="30">
        <v>0</v>
      </c>
      <c r="AV24" s="30">
        <v>0</v>
      </c>
      <c r="AW24" s="30">
        <v>0</v>
      </c>
      <c r="AX24" s="30">
        <v>0</v>
      </c>
      <c r="AY24" s="30">
        <v>0</v>
      </c>
    </row>
    <row r="25" spans="1:51">
      <c r="A25" s="30" t="s">
        <v>508</v>
      </c>
      <c r="B25" s="30" t="s">
        <v>543</v>
      </c>
      <c r="C25" s="30">
        <v>40</v>
      </c>
      <c r="D25" s="30">
        <v>48</v>
      </c>
      <c r="E25" s="30">
        <v>12483</v>
      </c>
      <c r="F25" s="30" t="s">
        <v>508</v>
      </c>
      <c r="G25" s="30" t="s">
        <v>197</v>
      </c>
      <c r="H25" s="30">
        <v>3.688879</v>
      </c>
      <c r="I25" s="30">
        <v>3.8712010000000001</v>
      </c>
      <c r="J25" s="30">
        <v>0</v>
      </c>
      <c r="K25" s="30">
        <v>0</v>
      </c>
      <c r="L25" s="30">
        <v>1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1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30">
        <v>0</v>
      </c>
      <c r="AG25" s="30">
        <v>0</v>
      </c>
      <c r="AH25" s="30">
        <v>0</v>
      </c>
      <c r="AI25" s="30">
        <v>0</v>
      </c>
      <c r="AJ25" s="30">
        <v>0</v>
      </c>
      <c r="AK25" s="30">
        <v>0</v>
      </c>
      <c r="AL25" s="30">
        <v>0</v>
      </c>
      <c r="AM25" s="30">
        <v>0</v>
      </c>
      <c r="AN25" s="30">
        <v>0</v>
      </c>
      <c r="AO25" s="30">
        <v>0</v>
      </c>
      <c r="AP25" s="30">
        <v>0</v>
      </c>
      <c r="AQ25" s="30">
        <v>0</v>
      </c>
      <c r="AR25" s="30">
        <v>0</v>
      </c>
      <c r="AS25" s="30">
        <v>0</v>
      </c>
      <c r="AT25" s="30">
        <v>0</v>
      </c>
      <c r="AU25" s="30">
        <v>0</v>
      </c>
      <c r="AV25" s="30">
        <v>0</v>
      </c>
      <c r="AW25" s="30">
        <v>0</v>
      </c>
      <c r="AX25" s="30">
        <v>0</v>
      </c>
      <c r="AY25" s="30">
        <v>0</v>
      </c>
    </row>
    <row r="26" spans="1:51">
      <c r="A26" s="30" t="s">
        <v>508</v>
      </c>
      <c r="B26" s="30" t="s">
        <v>544</v>
      </c>
      <c r="C26" s="30">
        <v>80</v>
      </c>
      <c r="D26" s="30">
        <v>44</v>
      </c>
      <c r="E26" s="30">
        <v>8603</v>
      </c>
      <c r="F26" s="30" t="s">
        <v>508</v>
      </c>
      <c r="G26" s="30" t="s">
        <v>211</v>
      </c>
      <c r="H26" s="30">
        <v>4.3820269999999999</v>
      </c>
      <c r="I26" s="30">
        <v>3.7841900000000002</v>
      </c>
      <c r="J26" s="30">
        <v>0</v>
      </c>
      <c r="K26" s="30">
        <v>0</v>
      </c>
      <c r="L26" s="30">
        <v>1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1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30">
        <v>0</v>
      </c>
      <c r="AG26" s="30">
        <v>0</v>
      </c>
      <c r="AH26" s="30">
        <v>0</v>
      </c>
      <c r="AI26" s="30">
        <v>0</v>
      </c>
      <c r="AJ26" s="30">
        <v>0</v>
      </c>
      <c r="AK26" s="30">
        <v>0</v>
      </c>
      <c r="AL26" s="30">
        <v>0</v>
      </c>
      <c r="AM26" s="30">
        <v>0</v>
      </c>
      <c r="AN26" s="30">
        <v>0</v>
      </c>
      <c r="AO26" s="30">
        <v>0</v>
      </c>
      <c r="AP26" s="30">
        <v>0</v>
      </c>
      <c r="AQ26" s="30">
        <v>0</v>
      </c>
      <c r="AR26" s="30">
        <v>0</v>
      </c>
      <c r="AS26" s="30">
        <v>0</v>
      </c>
      <c r="AT26" s="30">
        <v>0</v>
      </c>
      <c r="AU26" s="30">
        <v>0</v>
      </c>
      <c r="AV26" s="30">
        <v>0</v>
      </c>
      <c r="AW26" s="30">
        <v>0</v>
      </c>
      <c r="AX26" s="30">
        <v>0</v>
      </c>
      <c r="AY26" s="30">
        <v>0</v>
      </c>
    </row>
    <row r="27" spans="1:51">
      <c r="A27" s="30" t="s">
        <v>508</v>
      </c>
      <c r="B27" s="30" t="s">
        <v>545</v>
      </c>
      <c r="C27" s="30">
        <v>100</v>
      </c>
      <c r="D27" s="30">
        <v>55</v>
      </c>
      <c r="E27" s="30">
        <v>17414</v>
      </c>
      <c r="F27" s="30" t="s">
        <v>508</v>
      </c>
      <c r="G27" s="30" t="s">
        <v>546</v>
      </c>
      <c r="H27" s="30">
        <v>4.6051700000000002</v>
      </c>
      <c r="I27" s="30">
        <v>4.007333</v>
      </c>
      <c r="J27" s="30">
        <v>0</v>
      </c>
      <c r="K27" s="30">
        <v>0</v>
      </c>
      <c r="L27" s="30">
        <v>1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1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</row>
    <row r="28" spans="1:51">
      <c r="A28" s="30" t="s">
        <v>508</v>
      </c>
      <c r="B28" s="30" t="s">
        <v>547</v>
      </c>
      <c r="C28" s="30">
        <v>130</v>
      </c>
      <c r="D28" s="30">
        <v>28</v>
      </c>
      <c r="E28" s="30">
        <v>22843</v>
      </c>
      <c r="F28" s="30" t="s">
        <v>508</v>
      </c>
      <c r="G28" s="30" t="s">
        <v>364</v>
      </c>
      <c r="H28" s="30">
        <v>4.867534</v>
      </c>
      <c r="I28" s="30">
        <v>3.3322050000000001</v>
      </c>
      <c r="J28" s="30">
        <v>0</v>
      </c>
      <c r="K28" s="30">
        <v>0</v>
      </c>
      <c r="L28" s="30">
        <v>1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1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</row>
    <row r="29" spans="1:51">
      <c r="A29" s="30" t="s">
        <v>508</v>
      </c>
      <c r="B29" s="30" t="s">
        <v>548</v>
      </c>
      <c r="C29" s="30">
        <v>130</v>
      </c>
      <c r="D29" s="30">
        <v>12</v>
      </c>
      <c r="E29" s="30">
        <v>13726</v>
      </c>
      <c r="F29" s="30" t="s">
        <v>508</v>
      </c>
      <c r="G29" s="30" t="s">
        <v>364</v>
      </c>
      <c r="H29" s="30">
        <v>4.867534</v>
      </c>
      <c r="I29" s="30">
        <v>2.4849070000000002</v>
      </c>
      <c r="J29" s="30">
        <v>0</v>
      </c>
      <c r="K29" s="30">
        <v>0</v>
      </c>
      <c r="L29" s="30">
        <v>1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30">
        <v>0</v>
      </c>
      <c r="AF29" s="30">
        <v>0</v>
      </c>
      <c r="AG29" s="30">
        <v>0</v>
      </c>
      <c r="AH29" s="30">
        <v>0</v>
      </c>
      <c r="AI29" s="30">
        <v>0</v>
      </c>
      <c r="AJ29" s="30">
        <v>0</v>
      </c>
      <c r="AK29" s="30">
        <v>0</v>
      </c>
      <c r="AL29" s="30">
        <v>0</v>
      </c>
      <c r="AM29" s="30">
        <v>0</v>
      </c>
      <c r="AN29" s="30">
        <v>0</v>
      </c>
      <c r="AO29" s="30">
        <v>0</v>
      </c>
      <c r="AP29" s="30">
        <v>0</v>
      </c>
      <c r="AQ29" s="30">
        <v>1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</row>
    <row r="30" spans="1:51">
      <c r="A30" s="30" t="s">
        <v>508</v>
      </c>
      <c r="B30" s="30" t="s">
        <v>549</v>
      </c>
      <c r="C30" s="30">
        <v>40</v>
      </c>
      <c r="D30" s="30">
        <v>46</v>
      </c>
      <c r="E30" s="30">
        <v>6550</v>
      </c>
      <c r="F30" s="30" t="s">
        <v>508</v>
      </c>
      <c r="G30" s="30" t="s">
        <v>407</v>
      </c>
      <c r="H30" s="30">
        <v>3.688879</v>
      </c>
      <c r="I30" s="30">
        <v>3.8286410000000002</v>
      </c>
      <c r="J30" s="30">
        <v>0</v>
      </c>
      <c r="K30" s="30">
        <v>0</v>
      </c>
      <c r="L30" s="30">
        <v>1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30">
        <v>0</v>
      </c>
      <c r="AG30" s="30">
        <v>0</v>
      </c>
      <c r="AH30" s="30">
        <v>0</v>
      </c>
      <c r="AI30" s="30">
        <v>0</v>
      </c>
      <c r="AJ30" s="30">
        <v>0</v>
      </c>
      <c r="AK30" s="30">
        <v>0</v>
      </c>
      <c r="AL30" s="30">
        <v>0</v>
      </c>
      <c r="AM30" s="30">
        <v>0</v>
      </c>
      <c r="AN30" s="30">
        <v>0</v>
      </c>
      <c r="AO30" s="30">
        <v>0</v>
      </c>
      <c r="AP30" s="30">
        <v>0</v>
      </c>
      <c r="AQ30" s="30">
        <v>0</v>
      </c>
      <c r="AR30" s="30">
        <v>0</v>
      </c>
      <c r="AS30" s="30">
        <v>0</v>
      </c>
      <c r="AT30" s="30">
        <v>0</v>
      </c>
      <c r="AU30" s="30">
        <v>0</v>
      </c>
      <c r="AV30" s="30">
        <v>0</v>
      </c>
      <c r="AW30" s="30">
        <v>1</v>
      </c>
      <c r="AX30" s="30">
        <v>0</v>
      </c>
      <c r="AY30" s="30">
        <v>0</v>
      </c>
    </row>
    <row r="31" spans="1:51">
      <c r="A31" s="30" t="s">
        <v>508</v>
      </c>
      <c r="B31" s="30" t="s">
        <v>550</v>
      </c>
      <c r="C31" s="30">
        <v>40</v>
      </c>
      <c r="D31" s="30">
        <v>34</v>
      </c>
      <c r="E31" s="30">
        <v>11092</v>
      </c>
      <c r="F31" s="30" t="s">
        <v>508</v>
      </c>
      <c r="G31" s="30" t="s">
        <v>539</v>
      </c>
      <c r="H31" s="30">
        <v>3.688879</v>
      </c>
      <c r="I31" s="30">
        <v>3.5263610000000001</v>
      </c>
      <c r="J31" s="30">
        <v>0</v>
      </c>
      <c r="K31" s="30">
        <v>0</v>
      </c>
      <c r="L31" s="30">
        <v>1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1</v>
      </c>
      <c r="AD31" s="30">
        <v>0</v>
      </c>
      <c r="AE31" s="30">
        <v>0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0</v>
      </c>
      <c r="AL31" s="30">
        <v>0</v>
      </c>
      <c r="AM31" s="30">
        <v>0</v>
      </c>
      <c r="AN31" s="30">
        <v>0</v>
      </c>
      <c r="AO31" s="30">
        <v>0</v>
      </c>
      <c r="AP31" s="30">
        <v>0</v>
      </c>
      <c r="AQ31" s="30">
        <v>0</v>
      </c>
      <c r="AR31" s="30">
        <v>0</v>
      </c>
      <c r="AS31" s="30">
        <v>0</v>
      </c>
      <c r="AT31" s="30">
        <v>0</v>
      </c>
      <c r="AU31" s="30">
        <v>0</v>
      </c>
      <c r="AV31" s="30">
        <v>0</v>
      </c>
      <c r="AW31" s="30">
        <v>0</v>
      </c>
      <c r="AX31" s="30">
        <v>0</v>
      </c>
      <c r="AY31" s="30">
        <v>0</v>
      </c>
    </row>
    <row r="32" spans="1:51">
      <c r="A32" s="30" t="s">
        <v>508</v>
      </c>
      <c r="B32" s="30" t="s">
        <v>551</v>
      </c>
      <c r="C32" s="30">
        <v>75</v>
      </c>
      <c r="D32" s="30">
        <v>45</v>
      </c>
      <c r="E32" s="30">
        <v>7355</v>
      </c>
      <c r="F32" s="30" t="s">
        <v>508</v>
      </c>
      <c r="G32" s="30" t="s">
        <v>552</v>
      </c>
      <c r="H32" s="30">
        <v>4.317488</v>
      </c>
      <c r="I32" s="30">
        <v>3.8066620000000002</v>
      </c>
      <c r="J32" s="30">
        <v>0</v>
      </c>
      <c r="K32" s="30">
        <v>0</v>
      </c>
      <c r="L32" s="30">
        <v>1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30">
        <v>0</v>
      </c>
      <c r="AG32" s="30">
        <v>0</v>
      </c>
      <c r="AH32" s="30">
        <v>0</v>
      </c>
      <c r="AI32" s="30">
        <v>0</v>
      </c>
      <c r="AJ32" s="30">
        <v>0</v>
      </c>
      <c r="AK32" s="30">
        <v>0</v>
      </c>
      <c r="AL32" s="30">
        <v>0</v>
      </c>
      <c r="AM32" s="30">
        <v>0</v>
      </c>
      <c r="AN32" s="30">
        <v>0</v>
      </c>
      <c r="AO32" s="30">
        <v>0</v>
      </c>
      <c r="AP32" s="30">
        <v>0</v>
      </c>
      <c r="AQ32" s="30">
        <v>0</v>
      </c>
      <c r="AR32" s="30">
        <v>0</v>
      </c>
      <c r="AS32" s="30">
        <v>0</v>
      </c>
      <c r="AT32" s="30">
        <v>1</v>
      </c>
      <c r="AU32" s="30">
        <v>0</v>
      </c>
      <c r="AV32" s="30">
        <v>0</v>
      </c>
      <c r="AW32" s="30">
        <v>0</v>
      </c>
      <c r="AX32" s="30">
        <v>0</v>
      </c>
      <c r="AY32" s="30">
        <v>0</v>
      </c>
    </row>
    <row r="33" spans="1:51">
      <c r="A33" s="30" t="s">
        <v>508</v>
      </c>
      <c r="B33" s="30" t="s">
        <v>553</v>
      </c>
      <c r="C33" s="30">
        <v>45</v>
      </c>
      <c r="D33" s="30">
        <v>31</v>
      </c>
      <c r="E33" s="30">
        <v>11381.2</v>
      </c>
      <c r="F33" s="30" t="s">
        <v>508</v>
      </c>
      <c r="G33" s="30" t="s">
        <v>539</v>
      </c>
      <c r="H33" s="30">
        <v>3.8066620000000002</v>
      </c>
      <c r="I33" s="30">
        <v>3.4339870000000001</v>
      </c>
      <c r="J33" s="30">
        <v>0</v>
      </c>
      <c r="K33" s="30">
        <v>0</v>
      </c>
      <c r="L33" s="30">
        <v>1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1</v>
      </c>
      <c r="AD33" s="30">
        <v>0</v>
      </c>
      <c r="AE33" s="30">
        <v>0</v>
      </c>
      <c r="AF33" s="30">
        <v>0</v>
      </c>
      <c r="AG33" s="30">
        <v>0</v>
      </c>
      <c r="AH33" s="30">
        <v>0</v>
      </c>
      <c r="AI33" s="30">
        <v>0</v>
      </c>
      <c r="AJ33" s="30">
        <v>0</v>
      </c>
      <c r="AK33" s="30">
        <v>0</v>
      </c>
      <c r="AL33" s="30">
        <v>0</v>
      </c>
      <c r="AM33" s="30">
        <v>0</v>
      </c>
      <c r="AN33" s="30">
        <v>0</v>
      </c>
      <c r="AO33" s="30">
        <v>0</v>
      </c>
      <c r="AP33" s="30">
        <v>0</v>
      </c>
      <c r="AQ33" s="30">
        <v>0</v>
      </c>
      <c r="AR33" s="30">
        <v>0</v>
      </c>
      <c r="AS33" s="30">
        <v>0</v>
      </c>
      <c r="AT33" s="30">
        <v>0</v>
      </c>
      <c r="AU33" s="30">
        <v>0</v>
      </c>
      <c r="AV33" s="30">
        <v>0</v>
      </c>
      <c r="AW33" s="30">
        <v>0</v>
      </c>
      <c r="AX33" s="30">
        <v>0</v>
      </c>
      <c r="AY33" s="30">
        <v>0</v>
      </c>
    </row>
    <row r="34" spans="1:51">
      <c r="A34" s="30" t="s">
        <v>508</v>
      </c>
      <c r="B34" s="30" t="s">
        <v>554</v>
      </c>
      <c r="C34" s="30">
        <v>130</v>
      </c>
      <c r="D34" s="30">
        <v>39</v>
      </c>
      <c r="E34" s="30">
        <v>6701.95</v>
      </c>
      <c r="F34" s="30" t="s">
        <v>508</v>
      </c>
      <c r="G34" s="30" t="s">
        <v>516</v>
      </c>
      <c r="H34" s="30">
        <v>4.867534</v>
      </c>
      <c r="I34" s="30">
        <v>3.6635620000000002</v>
      </c>
      <c r="J34" s="30">
        <v>0</v>
      </c>
      <c r="K34" s="30">
        <v>0</v>
      </c>
      <c r="L34" s="30">
        <v>1</v>
      </c>
      <c r="M34" s="30">
        <v>0</v>
      </c>
      <c r="N34" s="30">
        <v>0</v>
      </c>
      <c r="O34" s="30">
        <v>0</v>
      </c>
      <c r="P34" s="30">
        <v>1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30">
        <v>0</v>
      </c>
      <c r="AG34" s="30">
        <v>0</v>
      </c>
      <c r="AH34" s="30">
        <v>0</v>
      </c>
      <c r="AI34" s="30">
        <v>0</v>
      </c>
      <c r="AJ34" s="30">
        <v>0</v>
      </c>
      <c r="AK34" s="30">
        <v>0</v>
      </c>
      <c r="AL34" s="30">
        <v>0</v>
      </c>
      <c r="AM34" s="30">
        <v>0</v>
      </c>
      <c r="AN34" s="30">
        <v>0</v>
      </c>
      <c r="AO34" s="30">
        <v>0</v>
      </c>
      <c r="AP34" s="30">
        <v>0</v>
      </c>
      <c r="AQ34" s="30">
        <v>0</v>
      </c>
      <c r="AR34" s="30">
        <v>0</v>
      </c>
      <c r="AS34" s="30">
        <v>0</v>
      </c>
      <c r="AT34" s="30">
        <v>0</v>
      </c>
      <c r="AU34" s="30">
        <v>0</v>
      </c>
      <c r="AV34" s="30">
        <v>0</v>
      </c>
      <c r="AW34" s="30">
        <v>0</v>
      </c>
      <c r="AX34" s="30">
        <v>0</v>
      </c>
      <c r="AY34" s="30">
        <v>0</v>
      </c>
    </row>
    <row r="35" spans="1:51">
      <c r="A35" s="30" t="s">
        <v>508</v>
      </c>
      <c r="B35" s="30" t="s">
        <v>555</v>
      </c>
      <c r="C35" s="30">
        <v>105</v>
      </c>
      <c r="D35" s="30">
        <v>26</v>
      </c>
      <c r="E35" s="30">
        <v>20131.14</v>
      </c>
      <c r="F35" s="30" t="s">
        <v>508</v>
      </c>
      <c r="G35" s="30" t="s">
        <v>339</v>
      </c>
      <c r="H35" s="30">
        <v>4.6539599999999997</v>
      </c>
      <c r="I35" s="30">
        <v>3.2580969999999998</v>
      </c>
      <c r="J35" s="30">
        <v>0</v>
      </c>
      <c r="K35" s="30">
        <v>0</v>
      </c>
      <c r="L35" s="30">
        <v>1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30">
        <v>0</v>
      </c>
      <c r="AG35" s="30">
        <v>0</v>
      </c>
      <c r="AH35" s="30">
        <v>1</v>
      </c>
      <c r="AI35" s="30">
        <v>0</v>
      </c>
      <c r="AJ35" s="30">
        <v>0</v>
      </c>
      <c r="AK35" s="30">
        <v>0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0</v>
      </c>
      <c r="AR35" s="30">
        <v>0</v>
      </c>
      <c r="AS35" s="30">
        <v>0</v>
      </c>
      <c r="AT35" s="30">
        <v>0</v>
      </c>
      <c r="AU35" s="30">
        <v>0</v>
      </c>
      <c r="AV35" s="30">
        <v>0</v>
      </c>
      <c r="AW35" s="30">
        <v>0</v>
      </c>
      <c r="AX35" s="30">
        <v>0</v>
      </c>
      <c r="AY35" s="30">
        <v>0</v>
      </c>
    </row>
    <row r="36" spans="1:51">
      <c r="A36" s="30" t="s">
        <v>508</v>
      </c>
      <c r="B36" s="30" t="s">
        <v>556</v>
      </c>
      <c r="C36" s="30">
        <v>130</v>
      </c>
      <c r="D36" s="30">
        <v>47</v>
      </c>
      <c r="E36" s="30">
        <v>9226.8799999999992</v>
      </c>
      <c r="F36" s="30" t="s">
        <v>508</v>
      </c>
      <c r="G36" s="30" t="s">
        <v>516</v>
      </c>
      <c r="H36" s="30">
        <v>4.867534</v>
      </c>
      <c r="I36" s="30">
        <v>3.8501479999999999</v>
      </c>
      <c r="J36" s="30">
        <v>0</v>
      </c>
      <c r="K36" s="30">
        <v>0</v>
      </c>
      <c r="L36" s="30">
        <v>1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30">
        <v>0</v>
      </c>
      <c r="AF36" s="30">
        <v>0</v>
      </c>
      <c r="AG36" s="30">
        <v>0</v>
      </c>
      <c r="AH36" s="30">
        <v>0</v>
      </c>
      <c r="AI36" s="30">
        <v>0</v>
      </c>
      <c r="AJ36" s="30">
        <v>0</v>
      </c>
      <c r="AK36" s="30">
        <v>0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0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</row>
    <row r="37" spans="1:51">
      <c r="A37" s="30" t="s">
        <v>508</v>
      </c>
      <c r="B37" s="30" t="s">
        <v>557</v>
      </c>
      <c r="C37" s="30">
        <v>105</v>
      </c>
      <c r="D37" s="30">
        <v>41</v>
      </c>
      <c r="E37" s="30">
        <v>22508</v>
      </c>
      <c r="F37" s="30" t="s">
        <v>508</v>
      </c>
      <c r="G37" s="30" t="s">
        <v>339</v>
      </c>
      <c r="H37" s="30">
        <v>4.6539599999999997</v>
      </c>
      <c r="I37" s="30">
        <v>3.7135720000000001</v>
      </c>
      <c r="J37" s="30">
        <v>0</v>
      </c>
      <c r="K37" s="30">
        <v>0</v>
      </c>
      <c r="L37" s="30">
        <v>1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30">
        <v>0</v>
      </c>
      <c r="AF37" s="30">
        <v>0</v>
      </c>
      <c r="AG37" s="30">
        <v>0</v>
      </c>
      <c r="AH37" s="30">
        <v>1</v>
      </c>
      <c r="AI37" s="30">
        <v>0</v>
      </c>
      <c r="AJ37" s="30">
        <v>0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</row>
    <row r="38" spans="1:51">
      <c r="A38" s="30" t="s">
        <v>508</v>
      </c>
      <c r="B38" s="30" t="s">
        <v>558</v>
      </c>
      <c r="C38" s="30">
        <v>105</v>
      </c>
      <c r="D38" s="30">
        <v>38</v>
      </c>
      <c r="E38" s="30">
        <v>17268</v>
      </c>
      <c r="F38" s="30" t="s">
        <v>508</v>
      </c>
      <c r="G38" s="30" t="s">
        <v>537</v>
      </c>
      <c r="H38" s="30">
        <v>4.6539599999999997</v>
      </c>
      <c r="I38" s="30">
        <v>3.6375860000000002</v>
      </c>
      <c r="J38" s="30">
        <v>0</v>
      </c>
      <c r="K38" s="30">
        <v>0</v>
      </c>
      <c r="L38" s="30">
        <v>1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1</v>
      </c>
      <c r="AF38" s="30">
        <v>0</v>
      </c>
      <c r="AG38" s="30">
        <v>0</v>
      </c>
      <c r="AH38" s="30">
        <v>0</v>
      </c>
      <c r="AI38" s="30">
        <v>0</v>
      </c>
      <c r="AJ38" s="30">
        <v>0</v>
      </c>
      <c r="AK38" s="30">
        <v>0</v>
      </c>
      <c r="AL38" s="30">
        <v>0</v>
      </c>
      <c r="AM38" s="30">
        <v>0</v>
      </c>
      <c r="AN38" s="30">
        <v>0</v>
      </c>
      <c r="AO38" s="30">
        <v>0</v>
      </c>
      <c r="AP38" s="30">
        <v>0</v>
      </c>
      <c r="AQ38" s="30">
        <v>0</v>
      </c>
      <c r="AR38" s="30">
        <v>0</v>
      </c>
      <c r="AS38" s="30">
        <v>0</v>
      </c>
      <c r="AT38" s="30">
        <v>0</v>
      </c>
      <c r="AU38" s="30">
        <v>0</v>
      </c>
      <c r="AV38" s="30">
        <v>0</v>
      </c>
      <c r="AW38" s="30">
        <v>0</v>
      </c>
      <c r="AX38" s="30">
        <v>0</v>
      </c>
      <c r="AY38" s="30">
        <v>0</v>
      </c>
    </row>
    <row r="39" spans="1:51">
      <c r="A39" s="30" t="s">
        <v>508</v>
      </c>
      <c r="B39" s="30" t="s">
        <v>559</v>
      </c>
      <c r="C39" s="30">
        <v>45</v>
      </c>
      <c r="D39" s="30">
        <v>34</v>
      </c>
      <c r="E39" s="30">
        <v>16210</v>
      </c>
      <c r="F39" s="30" t="s">
        <v>508</v>
      </c>
      <c r="G39" s="30" t="s">
        <v>539</v>
      </c>
      <c r="H39" s="30">
        <v>3.8066620000000002</v>
      </c>
      <c r="I39" s="30">
        <v>3.5263610000000001</v>
      </c>
      <c r="J39" s="30">
        <v>0</v>
      </c>
      <c r="K39" s="30">
        <v>0</v>
      </c>
      <c r="L39" s="30">
        <v>1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1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0</v>
      </c>
      <c r="AN39" s="30">
        <v>0</v>
      </c>
      <c r="AO39" s="30">
        <v>0</v>
      </c>
      <c r="AP39" s="30">
        <v>0</v>
      </c>
      <c r="AQ39" s="30">
        <v>0</v>
      </c>
      <c r="AR39" s="30">
        <v>0</v>
      </c>
      <c r="AS39" s="30">
        <v>0</v>
      </c>
      <c r="AT39" s="30">
        <v>0</v>
      </c>
      <c r="AU39" s="30">
        <v>0</v>
      </c>
      <c r="AV39" s="30">
        <v>0</v>
      </c>
      <c r="AW39" s="30">
        <v>0</v>
      </c>
      <c r="AX39" s="30">
        <v>0</v>
      </c>
      <c r="AY39" s="30">
        <v>0</v>
      </c>
    </row>
    <row r="40" spans="1:51">
      <c r="A40" s="30" t="s">
        <v>508</v>
      </c>
      <c r="B40" s="30" t="s">
        <v>560</v>
      </c>
      <c r="C40" s="30">
        <v>130</v>
      </c>
      <c r="D40" s="30">
        <v>90</v>
      </c>
      <c r="E40" s="30">
        <v>7005</v>
      </c>
      <c r="F40" s="30" t="s">
        <v>508</v>
      </c>
      <c r="G40" s="30" t="s">
        <v>516</v>
      </c>
      <c r="H40" s="30">
        <v>4.867534</v>
      </c>
      <c r="I40" s="30">
        <v>4.4998100000000001</v>
      </c>
      <c r="J40" s="30">
        <v>0</v>
      </c>
      <c r="K40" s="30">
        <v>0</v>
      </c>
      <c r="L40" s="30">
        <v>1</v>
      </c>
      <c r="M40" s="30">
        <v>0</v>
      </c>
      <c r="N40" s="30">
        <v>0</v>
      </c>
      <c r="O40" s="30">
        <v>0</v>
      </c>
      <c r="P40" s="30">
        <v>1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30">
        <v>0</v>
      </c>
      <c r="AG40" s="30">
        <v>0</v>
      </c>
      <c r="AH40" s="30">
        <v>0</v>
      </c>
      <c r="AI40" s="30">
        <v>0</v>
      </c>
      <c r="AJ40" s="30">
        <v>0</v>
      </c>
      <c r="AK40" s="30">
        <v>0</v>
      </c>
      <c r="AL40" s="30">
        <v>0</v>
      </c>
      <c r="AM40" s="30">
        <v>0</v>
      </c>
      <c r="AN40" s="30">
        <v>0</v>
      </c>
      <c r="AO40" s="30">
        <v>0</v>
      </c>
      <c r="AP40" s="30">
        <v>0</v>
      </c>
      <c r="AQ40" s="30">
        <v>0</v>
      </c>
      <c r="AR40" s="30">
        <v>0</v>
      </c>
      <c r="AS40" s="30">
        <v>0</v>
      </c>
      <c r="AT40" s="30">
        <v>0</v>
      </c>
      <c r="AU40" s="30">
        <v>0</v>
      </c>
      <c r="AV40" s="30">
        <v>0</v>
      </c>
      <c r="AW40" s="30">
        <v>0</v>
      </c>
      <c r="AX40" s="30">
        <v>0</v>
      </c>
      <c r="AY40" s="30">
        <v>0</v>
      </c>
    </row>
    <row r="41" spans="1:51">
      <c r="A41" s="30" t="s">
        <v>508</v>
      </c>
      <c r="B41" s="30" t="s">
        <v>561</v>
      </c>
      <c r="C41" s="30">
        <v>105</v>
      </c>
      <c r="D41" s="30">
        <v>44</v>
      </c>
      <c r="E41" s="30">
        <v>34836.78</v>
      </c>
      <c r="F41" s="30" t="s">
        <v>508</v>
      </c>
      <c r="G41" s="30" t="s">
        <v>339</v>
      </c>
      <c r="H41" s="30">
        <v>4.6539599999999997</v>
      </c>
      <c r="I41" s="30">
        <v>3.7841900000000002</v>
      </c>
      <c r="J41" s="30">
        <v>0</v>
      </c>
      <c r="K41" s="30">
        <v>0</v>
      </c>
      <c r="L41" s="30">
        <v>1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1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0">
        <v>0</v>
      </c>
      <c r="AO41" s="30">
        <v>0</v>
      </c>
      <c r="AP41" s="30">
        <v>0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0">
        <v>0</v>
      </c>
      <c r="AX41" s="30">
        <v>0</v>
      </c>
      <c r="AY41" s="30">
        <v>0</v>
      </c>
    </row>
    <row r="42" spans="1:51">
      <c r="A42" s="30" t="s">
        <v>508</v>
      </c>
      <c r="B42" s="30" t="s">
        <v>562</v>
      </c>
      <c r="C42" s="30">
        <v>105</v>
      </c>
      <c r="D42" s="30">
        <v>44</v>
      </c>
      <c r="E42" s="30">
        <v>18878.75</v>
      </c>
      <c r="F42" s="30" t="s">
        <v>508</v>
      </c>
      <c r="G42" s="30" t="s">
        <v>537</v>
      </c>
      <c r="H42" s="30">
        <v>4.6539599999999997</v>
      </c>
      <c r="I42" s="30">
        <v>3.7841900000000002</v>
      </c>
      <c r="J42" s="30">
        <v>0</v>
      </c>
      <c r="K42" s="30">
        <v>0</v>
      </c>
      <c r="L42" s="30">
        <v>1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30">
        <v>1</v>
      </c>
      <c r="AF42" s="30">
        <v>0</v>
      </c>
      <c r="AG42" s="30">
        <v>0</v>
      </c>
      <c r="AH42" s="30">
        <v>0</v>
      </c>
      <c r="AI42" s="30">
        <v>0</v>
      </c>
      <c r="AJ42" s="30">
        <v>0</v>
      </c>
      <c r="AK42" s="30">
        <v>0</v>
      </c>
      <c r="AL42" s="30">
        <v>0</v>
      </c>
      <c r="AM42" s="30">
        <v>0</v>
      </c>
      <c r="AN42" s="30">
        <v>0</v>
      </c>
      <c r="AO42" s="30">
        <v>0</v>
      </c>
      <c r="AP42" s="30">
        <v>0</v>
      </c>
      <c r="AQ42" s="30">
        <v>0</v>
      </c>
      <c r="AR42" s="30">
        <v>0</v>
      </c>
      <c r="AS42" s="30">
        <v>0</v>
      </c>
      <c r="AT42" s="30">
        <v>0</v>
      </c>
      <c r="AU42" s="30">
        <v>0</v>
      </c>
      <c r="AV42" s="30">
        <v>0</v>
      </c>
      <c r="AW42" s="30">
        <v>0</v>
      </c>
      <c r="AX42" s="30">
        <v>0</v>
      </c>
      <c r="AY42" s="30">
        <v>0</v>
      </c>
    </row>
    <row r="43" spans="1:51">
      <c r="A43" s="30" t="s">
        <v>508</v>
      </c>
      <c r="B43" s="30" t="s">
        <v>563</v>
      </c>
      <c r="C43" s="30">
        <v>45</v>
      </c>
      <c r="D43" s="30">
        <v>57</v>
      </c>
      <c r="E43" s="30">
        <v>16586</v>
      </c>
      <c r="F43" s="30" t="s">
        <v>508</v>
      </c>
      <c r="G43" s="30" t="s">
        <v>197</v>
      </c>
      <c r="H43" s="30">
        <v>3.8066620000000002</v>
      </c>
      <c r="I43" s="30">
        <v>4.0430510000000002</v>
      </c>
      <c r="J43" s="30">
        <v>0</v>
      </c>
      <c r="K43" s="30">
        <v>0</v>
      </c>
      <c r="L43" s="30">
        <v>1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1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30">
        <v>0</v>
      </c>
      <c r="AF43" s="30">
        <v>0</v>
      </c>
      <c r="AG43" s="30">
        <v>0</v>
      </c>
      <c r="AH43" s="30">
        <v>0</v>
      </c>
      <c r="AI43" s="30">
        <v>0</v>
      </c>
      <c r="AJ43" s="30">
        <v>0</v>
      </c>
      <c r="AK43" s="30">
        <v>0</v>
      </c>
      <c r="AL43" s="30">
        <v>0</v>
      </c>
      <c r="AM43" s="30">
        <v>0</v>
      </c>
      <c r="AN43" s="30">
        <v>0</v>
      </c>
      <c r="AO43" s="30">
        <v>0</v>
      </c>
      <c r="AP43" s="30">
        <v>0</v>
      </c>
      <c r="AQ43" s="30">
        <v>0</v>
      </c>
      <c r="AR43" s="30">
        <v>0</v>
      </c>
      <c r="AS43" s="30">
        <v>0</v>
      </c>
      <c r="AT43" s="30">
        <v>0</v>
      </c>
      <c r="AU43" s="30">
        <v>0</v>
      </c>
      <c r="AV43" s="30">
        <v>0</v>
      </c>
      <c r="AW43" s="30">
        <v>0</v>
      </c>
      <c r="AX43" s="30">
        <v>0</v>
      </c>
      <c r="AY43" s="30">
        <v>0</v>
      </c>
    </row>
    <row r="44" spans="1:51">
      <c r="A44" s="30" t="s">
        <v>508</v>
      </c>
      <c r="B44" s="30" t="s">
        <v>564</v>
      </c>
      <c r="C44" s="30">
        <v>80</v>
      </c>
      <c r="D44" s="30">
        <v>40</v>
      </c>
      <c r="E44" s="30">
        <v>9433.01</v>
      </c>
      <c r="F44" s="30" t="s">
        <v>508</v>
      </c>
      <c r="G44" s="30" t="s">
        <v>211</v>
      </c>
      <c r="H44" s="30">
        <v>4.3820269999999999</v>
      </c>
      <c r="I44" s="30">
        <v>3.688879</v>
      </c>
      <c r="J44" s="30">
        <v>0</v>
      </c>
      <c r="K44" s="30">
        <v>0</v>
      </c>
      <c r="L44" s="30">
        <v>1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1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30">
        <v>0</v>
      </c>
      <c r="AF44" s="30">
        <v>0</v>
      </c>
      <c r="AG44" s="30">
        <v>0</v>
      </c>
      <c r="AH44" s="30">
        <v>0</v>
      </c>
      <c r="AI44" s="30">
        <v>0</v>
      </c>
      <c r="AJ44" s="30">
        <v>0</v>
      </c>
      <c r="AK44" s="30">
        <v>0</v>
      </c>
      <c r="AL44" s="30">
        <v>0</v>
      </c>
      <c r="AM44" s="30">
        <v>0</v>
      </c>
      <c r="AN44" s="30">
        <v>0</v>
      </c>
      <c r="AO44" s="30">
        <v>0</v>
      </c>
      <c r="AP44" s="30">
        <v>0</v>
      </c>
      <c r="AQ44" s="30">
        <v>0</v>
      </c>
      <c r="AR44" s="30">
        <v>0</v>
      </c>
      <c r="AS44" s="30">
        <v>0</v>
      </c>
      <c r="AT44" s="30">
        <v>0</v>
      </c>
      <c r="AU44" s="30">
        <v>0</v>
      </c>
      <c r="AV44" s="30">
        <v>0</v>
      </c>
      <c r="AW44" s="30">
        <v>0</v>
      </c>
      <c r="AX44" s="30">
        <v>0</v>
      </c>
      <c r="AY44" s="30">
        <v>0</v>
      </c>
    </row>
    <row r="45" spans="1:51">
      <c r="A45" s="30" t="s">
        <v>508</v>
      </c>
      <c r="B45" s="30" t="s">
        <v>565</v>
      </c>
      <c r="C45" s="30">
        <v>100</v>
      </c>
      <c r="D45" s="30">
        <v>60</v>
      </c>
      <c r="E45" s="30">
        <v>16378</v>
      </c>
      <c r="F45" s="30" t="s">
        <v>508</v>
      </c>
      <c r="G45" s="30" t="s">
        <v>546</v>
      </c>
      <c r="H45" s="30">
        <v>4.6051700000000002</v>
      </c>
      <c r="I45" s="30">
        <v>4.0943449999999997</v>
      </c>
      <c r="J45" s="30">
        <v>0</v>
      </c>
      <c r="K45" s="30">
        <v>0</v>
      </c>
      <c r="L45" s="30">
        <v>1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1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0</v>
      </c>
      <c r="AJ45" s="30">
        <v>0</v>
      </c>
      <c r="AK45" s="30">
        <v>0</v>
      </c>
      <c r="AL45" s="30">
        <v>0</v>
      </c>
      <c r="AM45" s="30">
        <v>0</v>
      </c>
      <c r="AN45" s="30">
        <v>0</v>
      </c>
      <c r="AO45" s="30">
        <v>0</v>
      </c>
      <c r="AP45" s="30">
        <v>0</v>
      </c>
      <c r="AQ45" s="30">
        <v>0</v>
      </c>
      <c r="AR45" s="30">
        <v>0</v>
      </c>
      <c r="AS45" s="30">
        <v>0</v>
      </c>
      <c r="AT45" s="30">
        <v>0</v>
      </c>
      <c r="AU45" s="30">
        <v>0</v>
      </c>
      <c r="AV45" s="30">
        <v>0</v>
      </c>
      <c r="AW45" s="30">
        <v>0</v>
      </c>
      <c r="AX45" s="30">
        <v>0</v>
      </c>
      <c r="AY45" s="30">
        <v>0</v>
      </c>
    </row>
    <row r="46" spans="1:51">
      <c r="A46" s="30" t="s">
        <v>508</v>
      </c>
      <c r="B46" s="30" t="s">
        <v>566</v>
      </c>
      <c r="C46" s="30">
        <v>130</v>
      </c>
      <c r="D46" s="30">
        <v>33</v>
      </c>
      <c r="E46" s="30">
        <v>23227</v>
      </c>
      <c r="F46" s="30" t="s">
        <v>508</v>
      </c>
      <c r="G46" s="30" t="s">
        <v>364</v>
      </c>
      <c r="H46" s="30">
        <v>4.867534</v>
      </c>
      <c r="I46" s="30">
        <v>3.4965079999999999</v>
      </c>
      <c r="J46" s="30">
        <v>0</v>
      </c>
      <c r="K46" s="30">
        <v>0</v>
      </c>
      <c r="L46" s="30">
        <v>1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30">
        <v>0</v>
      </c>
      <c r="AF46" s="30">
        <v>0</v>
      </c>
      <c r="AG46" s="30">
        <v>0</v>
      </c>
      <c r="AH46" s="30">
        <v>0</v>
      </c>
      <c r="AI46" s="30">
        <v>0</v>
      </c>
      <c r="AJ46" s="30">
        <v>0</v>
      </c>
      <c r="AK46" s="30">
        <v>0</v>
      </c>
      <c r="AL46" s="30">
        <v>0</v>
      </c>
      <c r="AM46" s="30">
        <v>0</v>
      </c>
      <c r="AN46" s="30">
        <v>0</v>
      </c>
      <c r="AO46" s="30">
        <v>0</v>
      </c>
      <c r="AP46" s="30">
        <v>0</v>
      </c>
      <c r="AQ46" s="30">
        <v>1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0</v>
      </c>
    </row>
    <row r="47" spans="1:51">
      <c r="A47" s="30" t="s">
        <v>508</v>
      </c>
      <c r="B47" s="30" t="s">
        <v>567</v>
      </c>
      <c r="C47" s="30">
        <v>130</v>
      </c>
      <c r="D47" s="30">
        <v>19</v>
      </c>
      <c r="E47" s="30">
        <v>19855.43</v>
      </c>
      <c r="F47" s="30" t="s">
        <v>508</v>
      </c>
      <c r="G47" s="30" t="s">
        <v>364</v>
      </c>
      <c r="H47" s="30">
        <v>4.867534</v>
      </c>
      <c r="I47" s="30">
        <v>2.944439</v>
      </c>
      <c r="J47" s="30">
        <v>0</v>
      </c>
      <c r="K47" s="30">
        <v>0</v>
      </c>
      <c r="L47" s="30">
        <v>1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30">
        <v>0</v>
      </c>
      <c r="AF47" s="30">
        <v>0</v>
      </c>
      <c r="AG47" s="30">
        <v>0</v>
      </c>
      <c r="AH47" s="30">
        <v>0</v>
      </c>
      <c r="AI47" s="30">
        <v>0</v>
      </c>
      <c r="AJ47" s="30">
        <v>0</v>
      </c>
      <c r="AK47" s="30">
        <v>0</v>
      </c>
      <c r="AL47" s="30">
        <v>0</v>
      </c>
      <c r="AM47" s="30">
        <v>0</v>
      </c>
      <c r="AN47" s="30">
        <v>0</v>
      </c>
      <c r="AO47" s="30">
        <v>0</v>
      </c>
      <c r="AP47" s="30">
        <v>0</v>
      </c>
      <c r="AQ47" s="30">
        <v>1</v>
      </c>
      <c r="AR47" s="30">
        <v>0</v>
      </c>
      <c r="AS47" s="30">
        <v>0</v>
      </c>
      <c r="AT47" s="30">
        <v>0</v>
      </c>
      <c r="AU47" s="30">
        <v>0</v>
      </c>
      <c r="AV47" s="30">
        <v>0</v>
      </c>
      <c r="AW47" s="30">
        <v>0</v>
      </c>
      <c r="AX47" s="30">
        <v>0</v>
      </c>
      <c r="AY47" s="30">
        <v>0</v>
      </c>
    </row>
    <row r="48" spans="1:51">
      <c r="A48" s="30" t="s">
        <v>508</v>
      </c>
      <c r="B48" s="30" t="s">
        <v>568</v>
      </c>
      <c r="C48" s="30">
        <v>75</v>
      </c>
      <c r="D48" s="30">
        <v>46</v>
      </c>
      <c r="E48" s="30">
        <v>9369.2900000000009</v>
      </c>
      <c r="F48" s="30" t="s">
        <v>508</v>
      </c>
      <c r="G48" s="30" t="s">
        <v>372</v>
      </c>
      <c r="H48" s="30">
        <v>4.317488</v>
      </c>
      <c r="I48" s="30">
        <v>3.8286410000000002</v>
      </c>
      <c r="J48" s="30">
        <v>0</v>
      </c>
      <c r="K48" s="30">
        <v>0</v>
      </c>
      <c r="L48" s="30">
        <v>1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30">
        <v>0</v>
      </c>
      <c r="AG48" s="30">
        <v>0</v>
      </c>
      <c r="AH48" s="30">
        <v>0</v>
      </c>
      <c r="AI48" s="30">
        <v>0</v>
      </c>
      <c r="AJ48" s="30">
        <v>0</v>
      </c>
      <c r="AK48" s="30">
        <v>0</v>
      </c>
      <c r="AL48" s="30">
        <v>0</v>
      </c>
      <c r="AM48" s="30">
        <v>0</v>
      </c>
      <c r="AN48" s="30">
        <v>0</v>
      </c>
      <c r="AO48" s="30">
        <v>0</v>
      </c>
      <c r="AP48" s="30">
        <v>0</v>
      </c>
      <c r="AQ48" s="30">
        <v>0</v>
      </c>
      <c r="AR48" s="30">
        <v>1</v>
      </c>
      <c r="AS48" s="30">
        <v>0</v>
      </c>
      <c r="AT48" s="30">
        <v>0</v>
      </c>
      <c r="AU48" s="30">
        <v>0</v>
      </c>
      <c r="AV48" s="30">
        <v>0</v>
      </c>
      <c r="AW48" s="30">
        <v>0</v>
      </c>
      <c r="AX48" s="30">
        <v>0</v>
      </c>
      <c r="AY48" s="30">
        <v>0</v>
      </c>
    </row>
    <row r="49" spans="1:51">
      <c r="A49" s="30" t="s">
        <v>508</v>
      </c>
      <c r="B49" s="30" t="s">
        <v>569</v>
      </c>
      <c r="C49" s="30">
        <v>45</v>
      </c>
      <c r="D49" s="30">
        <v>54</v>
      </c>
      <c r="E49" s="30">
        <v>12513</v>
      </c>
      <c r="F49" s="30" t="s">
        <v>508</v>
      </c>
      <c r="G49" s="30" t="s">
        <v>570</v>
      </c>
      <c r="H49" s="30">
        <v>3.8066620000000002</v>
      </c>
      <c r="I49" s="30">
        <v>3.9889839999999999</v>
      </c>
      <c r="J49" s="30">
        <v>0</v>
      </c>
      <c r="K49" s="30">
        <v>0</v>
      </c>
      <c r="L49" s="30">
        <v>1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0</v>
      </c>
      <c r="AS49" s="30">
        <v>0</v>
      </c>
      <c r="AT49" s="30">
        <v>0</v>
      </c>
      <c r="AU49" s="30">
        <v>0</v>
      </c>
      <c r="AV49" s="30">
        <v>0</v>
      </c>
      <c r="AW49" s="30">
        <v>0</v>
      </c>
      <c r="AX49" s="30">
        <v>0</v>
      </c>
      <c r="AY49" s="30">
        <v>1</v>
      </c>
    </row>
    <row r="50" spans="1:51">
      <c r="A50" s="30" t="s">
        <v>571</v>
      </c>
      <c r="B50" s="30" t="s">
        <v>572</v>
      </c>
      <c r="C50" s="30">
        <v>6</v>
      </c>
      <c r="D50" s="30">
        <v>1</v>
      </c>
      <c r="E50" s="30">
        <v>6</v>
      </c>
      <c r="F50" s="30" t="s">
        <v>571</v>
      </c>
      <c r="G50" s="30"/>
      <c r="H50" s="30">
        <v>1.7917590000000001</v>
      </c>
      <c r="I50" s="30">
        <v>0</v>
      </c>
      <c r="J50" s="30">
        <v>0</v>
      </c>
      <c r="K50" s="30">
        <v>1</v>
      </c>
      <c r="L50" s="30">
        <v>0</v>
      </c>
      <c r="M50" s="30">
        <v>0</v>
      </c>
      <c r="N50" s="30">
        <v>1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0</v>
      </c>
      <c r="AT50" s="30">
        <v>0</v>
      </c>
      <c r="AU50" s="30">
        <v>0</v>
      </c>
      <c r="AV50" s="30">
        <v>0</v>
      </c>
      <c r="AW50" s="30">
        <v>0</v>
      </c>
      <c r="AX50" s="30">
        <v>0</v>
      </c>
      <c r="AY50" s="30">
        <v>0</v>
      </c>
    </row>
    <row r="51" spans="1:51">
      <c r="A51" s="30" t="s">
        <v>571</v>
      </c>
      <c r="B51" s="30" t="s">
        <v>573</v>
      </c>
      <c r="C51" s="30">
        <v>10</v>
      </c>
      <c r="D51" s="30">
        <v>494</v>
      </c>
      <c r="E51" s="30">
        <v>990</v>
      </c>
      <c r="F51" s="30" t="s">
        <v>571</v>
      </c>
      <c r="G51" s="30"/>
      <c r="H51" s="30">
        <v>2.3025850000000001</v>
      </c>
      <c r="I51" s="30">
        <v>6.2025360000000003</v>
      </c>
      <c r="J51" s="30">
        <v>0</v>
      </c>
      <c r="K51" s="30">
        <v>1</v>
      </c>
      <c r="L51" s="30">
        <v>0</v>
      </c>
      <c r="M51" s="30">
        <v>0</v>
      </c>
      <c r="N51" s="30">
        <v>1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0</v>
      </c>
      <c r="AR51" s="30">
        <v>0</v>
      </c>
      <c r="AS51" s="30">
        <v>0</v>
      </c>
      <c r="AT51" s="30">
        <v>0</v>
      </c>
      <c r="AU51" s="30">
        <v>0</v>
      </c>
      <c r="AV51" s="30">
        <v>0</v>
      </c>
      <c r="AW51" s="30">
        <v>0</v>
      </c>
      <c r="AX51" s="30">
        <v>0</v>
      </c>
      <c r="AY51" s="30">
        <v>0</v>
      </c>
    </row>
    <row r="52" spans="1:51">
      <c r="A52" s="30" t="s">
        <v>571</v>
      </c>
      <c r="B52" s="30" t="s">
        <v>574</v>
      </c>
      <c r="C52" s="30">
        <v>10</v>
      </c>
      <c r="D52" s="30">
        <v>1</v>
      </c>
      <c r="E52" s="30">
        <v>10</v>
      </c>
      <c r="F52" s="30" t="s">
        <v>571</v>
      </c>
      <c r="G52" s="30"/>
      <c r="H52" s="30">
        <v>2.3025850000000001</v>
      </c>
      <c r="I52" s="30">
        <v>0</v>
      </c>
      <c r="J52" s="30">
        <v>0</v>
      </c>
      <c r="K52" s="30">
        <v>1</v>
      </c>
      <c r="L52" s="30">
        <v>0</v>
      </c>
      <c r="M52" s="30">
        <v>0</v>
      </c>
      <c r="N52" s="30">
        <v>1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0</v>
      </c>
      <c r="AS52" s="30">
        <v>0</v>
      </c>
      <c r="AT52" s="30">
        <v>0</v>
      </c>
      <c r="AU52" s="30">
        <v>0</v>
      </c>
      <c r="AV52" s="30">
        <v>0</v>
      </c>
      <c r="AW52" s="30">
        <v>0</v>
      </c>
      <c r="AX52" s="30">
        <v>0</v>
      </c>
      <c r="AY52" s="30">
        <v>0</v>
      </c>
    </row>
    <row r="53" spans="1:51">
      <c r="A53" s="30" t="s">
        <v>571</v>
      </c>
      <c r="B53" s="30" t="s">
        <v>575</v>
      </c>
      <c r="C53" s="30">
        <v>10</v>
      </c>
      <c r="D53" s="30">
        <v>266</v>
      </c>
      <c r="E53" s="30">
        <v>3840</v>
      </c>
      <c r="F53" s="30" t="s">
        <v>571</v>
      </c>
      <c r="G53" s="30"/>
      <c r="H53" s="30">
        <v>2.3025850000000001</v>
      </c>
      <c r="I53" s="30">
        <v>5.5834960000000002</v>
      </c>
      <c r="J53" s="30">
        <v>0</v>
      </c>
      <c r="K53" s="30">
        <v>1</v>
      </c>
      <c r="L53" s="30">
        <v>0</v>
      </c>
      <c r="M53" s="30">
        <v>0</v>
      </c>
      <c r="N53" s="30">
        <v>1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</row>
    <row r="54" spans="1:51">
      <c r="A54" s="30" t="s">
        <v>571</v>
      </c>
      <c r="B54" s="30" t="s">
        <v>576</v>
      </c>
      <c r="C54" s="30">
        <v>10</v>
      </c>
      <c r="D54" s="30">
        <v>917</v>
      </c>
      <c r="E54" s="30">
        <v>12410</v>
      </c>
      <c r="F54" s="30" t="s">
        <v>571</v>
      </c>
      <c r="G54" s="30"/>
      <c r="H54" s="30">
        <v>2.3025850000000001</v>
      </c>
      <c r="I54" s="30">
        <v>6.8211069999999996</v>
      </c>
      <c r="J54" s="30">
        <v>0</v>
      </c>
      <c r="K54" s="30">
        <v>1</v>
      </c>
      <c r="L54" s="30">
        <v>0</v>
      </c>
      <c r="M54" s="30">
        <v>0</v>
      </c>
      <c r="N54" s="30">
        <v>1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30">
        <v>0</v>
      </c>
      <c r="AU54" s="30">
        <v>0</v>
      </c>
      <c r="AV54" s="30">
        <v>0</v>
      </c>
      <c r="AW54" s="30">
        <v>0</v>
      </c>
      <c r="AX54" s="30">
        <v>0</v>
      </c>
      <c r="AY54" s="30">
        <v>0</v>
      </c>
    </row>
    <row r="55" spans="1:51">
      <c r="A55" s="30" t="s">
        <v>571</v>
      </c>
      <c r="B55" s="30" t="s">
        <v>577</v>
      </c>
      <c r="C55" s="30">
        <v>10</v>
      </c>
      <c r="D55" s="30">
        <v>1</v>
      </c>
      <c r="E55" s="30">
        <v>20</v>
      </c>
      <c r="F55" s="30" t="s">
        <v>571</v>
      </c>
      <c r="G55" s="30"/>
      <c r="H55" s="30">
        <v>2.3025850000000001</v>
      </c>
      <c r="I55" s="30">
        <v>0</v>
      </c>
      <c r="J55" s="30">
        <v>0</v>
      </c>
      <c r="K55" s="30">
        <v>1</v>
      </c>
      <c r="L55" s="30">
        <v>0</v>
      </c>
      <c r="M55" s="30">
        <v>0</v>
      </c>
      <c r="N55" s="30">
        <v>1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0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0</v>
      </c>
      <c r="AT55" s="30">
        <v>0</v>
      </c>
      <c r="AU55" s="30">
        <v>0</v>
      </c>
      <c r="AV55" s="30">
        <v>0</v>
      </c>
      <c r="AW55" s="30">
        <v>0</v>
      </c>
      <c r="AX55" s="30">
        <v>0</v>
      </c>
      <c r="AY55" s="30">
        <v>0</v>
      </c>
    </row>
    <row r="56" spans="1:51">
      <c r="A56" s="30" t="s">
        <v>571</v>
      </c>
      <c r="B56" s="30" t="s">
        <v>578</v>
      </c>
      <c r="C56" s="30">
        <v>10</v>
      </c>
      <c r="D56" s="30">
        <v>77</v>
      </c>
      <c r="E56" s="30">
        <v>870</v>
      </c>
      <c r="F56" s="30" t="s">
        <v>571</v>
      </c>
      <c r="G56" s="30"/>
      <c r="H56" s="30">
        <v>2.3025850000000001</v>
      </c>
      <c r="I56" s="30">
        <v>4.3438049999999997</v>
      </c>
      <c r="J56" s="30">
        <v>0</v>
      </c>
      <c r="K56" s="30">
        <v>1</v>
      </c>
      <c r="L56" s="30">
        <v>0</v>
      </c>
      <c r="M56" s="30">
        <v>0</v>
      </c>
      <c r="N56" s="30">
        <v>1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0</v>
      </c>
      <c r="AL56" s="30">
        <v>0</v>
      </c>
      <c r="AM56" s="30">
        <v>0</v>
      </c>
      <c r="AN56" s="30">
        <v>0</v>
      </c>
      <c r="AO56" s="30">
        <v>0</v>
      </c>
      <c r="AP56" s="30">
        <v>0</v>
      </c>
      <c r="AQ56" s="30">
        <v>0</v>
      </c>
      <c r="AR56" s="30">
        <v>0</v>
      </c>
      <c r="AS56" s="30">
        <v>0</v>
      </c>
      <c r="AT56" s="30">
        <v>0</v>
      </c>
      <c r="AU56" s="30">
        <v>0</v>
      </c>
      <c r="AV56" s="30">
        <v>0</v>
      </c>
      <c r="AW56" s="30">
        <v>0</v>
      </c>
      <c r="AX56" s="30">
        <v>0</v>
      </c>
      <c r="AY56" s="30">
        <v>0</v>
      </c>
    </row>
    <row r="57" spans="1:51">
      <c r="A57" s="30" t="s">
        <v>571</v>
      </c>
      <c r="B57" s="30" t="s">
        <v>579</v>
      </c>
      <c r="C57" s="30">
        <v>10</v>
      </c>
      <c r="D57" s="30">
        <v>101</v>
      </c>
      <c r="E57" s="30">
        <v>1240</v>
      </c>
      <c r="F57" s="30" t="s">
        <v>571</v>
      </c>
      <c r="G57" s="30"/>
      <c r="H57" s="30">
        <v>2.3025850000000001</v>
      </c>
      <c r="I57" s="30">
        <v>4.6151210000000003</v>
      </c>
      <c r="J57" s="30">
        <v>0</v>
      </c>
      <c r="K57" s="30">
        <v>1</v>
      </c>
      <c r="L57" s="30">
        <v>0</v>
      </c>
      <c r="M57" s="30">
        <v>0</v>
      </c>
      <c r="N57" s="30">
        <v>1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0</v>
      </c>
      <c r="AV57" s="30">
        <v>0</v>
      </c>
      <c r="AW57" s="30">
        <v>0</v>
      </c>
      <c r="AX57" s="30">
        <v>0</v>
      </c>
      <c r="AY57" s="30">
        <v>0</v>
      </c>
    </row>
    <row r="58" spans="1:51">
      <c r="A58" s="30" t="s">
        <v>571</v>
      </c>
      <c r="B58" s="30" t="s">
        <v>580</v>
      </c>
      <c r="C58" s="30">
        <v>10</v>
      </c>
      <c r="D58" s="30">
        <v>6</v>
      </c>
      <c r="E58" s="30">
        <v>70</v>
      </c>
      <c r="F58" s="30" t="s">
        <v>571</v>
      </c>
      <c r="G58" s="30"/>
      <c r="H58" s="30">
        <v>2.3025850000000001</v>
      </c>
      <c r="I58" s="30">
        <v>1.7917590000000001</v>
      </c>
      <c r="J58" s="30">
        <v>0</v>
      </c>
      <c r="K58" s="30">
        <v>1</v>
      </c>
      <c r="L58" s="30">
        <v>0</v>
      </c>
      <c r="M58" s="30">
        <v>0</v>
      </c>
      <c r="N58" s="30">
        <v>1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</row>
    <row r="59" spans="1:51">
      <c r="A59" s="30" t="s">
        <v>571</v>
      </c>
      <c r="B59" s="30" t="s">
        <v>575</v>
      </c>
      <c r="C59" s="30">
        <v>10</v>
      </c>
      <c r="D59" s="30">
        <v>1023</v>
      </c>
      <c r="E59" s="30">
        <v>13210</v>
      </c>
      <c r="F59" s="30" t="s">
        <v>571</v>
      </c>
      <c r="G59" s="30"/>
      <c r="H59" s="30">
        <v>2.3025850000000001</v>
      </c>
      <c r="I59" s="30">
        <v>6.9304949999999996</v>
      </c>
      <c r="J59" s="30">
        <v>0</v>
      </c>
      <c r="K59" s="30">
        <v>1</v>
      </c>
      <c r="L59" s="30">
        <v>0</v>
      </c>
      <c r="M59" s="30">
        <v>0</v>
      </c>
      <c r="N59" s="30">
        <v>1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</row>
    <row r="60" spans="1:51">
      <c r="A60" s="30" t="s">
        <v>571</v>
      </c>
      <c r="B60" s="30" t="s">
        <v>576</v>
      </c>
      <c r="C60" s="30">
        <v>10</v>
      </c>
      <c r="D60" s="30">
        <v>61</v>
      </c>
      <c r="E60" s="30">
        <v>730</v>
      </c>
      <c r="F60" s="30" t="s">
        <v>571</v>
      </c>
      <c r="G60" s="30"/>
      <c r="H60" s="30">
        <v>2.3025850000000001</v>
      </c>
      <c r="I60" s="30">
        <v>4.1108739999999999</v>
      </c>
      <c r="J60" s="30">
        <v>0</v>
      </c>
      <c r="K60" s="30">
        <v>1</v>
      </c>
      <c r="L60" s="30">
        <v>0</v>
      </c>
      <c r="M60" s="30">
        <v>0</v>
      </c>
      <c r="N60" s="30">
        <v>1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</row>
    <row r="61" spans="1:51">
      <c r="A61" s="30" t="s">
        <v>571</v>
      </c>
      <c r="B61" s="30" t="s">
        <v>578</v>
      </c>
      <c r="C61" s="30">
        <v>10</v>
      </c>
      <c r="D61" s="30">
        <v>22</v>
      </c>
      <c r="E61" s="30">
        <v>280</v>
      </c>
      <c r="F61" s="30" t="s">
        <v>571</v>
      </c>
      <c r="G61" s="30"/>
      <c r="H61" s="30">
        <v>2.3025850000000001</v>
      </c>
      <c r="I61" s="30">
        <v>3.0910419999999998</v>
      </c>
      <c r="J61" s="30">
        <v>0</v>
      </c>
      <c r="K61" s="30">
        <v>1</v>
      </c>
      <c r="L61" s="30">
        <v>0</v>
      </c>
      <c r="M61" s="30">
        <v>0</v>
      </c>
      <c r="N61" s="30">
        <v>1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</row>
    <row r="62" spans="1:51">
      <c r="A62" s="30" t="s">
        <v>571</v>
      </c>
      <c r="B62" s="30" t="s">
        <v>579</v>
      </c>
      <c r="C62" s="30">
        <v>10</v>
      </c>
      <c r="D62" s="30">
        <v>21</v>
      </c>
      <c r="E62" s="30">
        <v>230</v>
      </c>
      <c r="F62" s="30" t="s">
        <v>571</v>
      </c>
      <c r="G62" s="30"/>
      <c r="H62" s="30">
        <v>2.3025850000000001</v>
      </c>
      <c r="I62" s="30">
        <v>3.0445220000000002</v>
      </c>
      <c r="J62" s="30">
        <v>0</v>
      </c>
      <c r="K62" s="30">
        <v>1</v>
      </c>
      <c r="L62" s="30">
        <v>0</v>
      </c>
      <c r="M62" s="30">
        <v>0</v>
      </c>
      <c r="N62" s="30">
        <v>1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</row>
    <row r="63" spans="1:51">
      <c r="A63" s="30" t="s">
        <v>571</v>
      </c>
      <c r="B63" s="30" t="s">
        <v>580</v>
      </c>
      <c r="C63" s="30">
        <v>10</v>
      </c>
      <c r="D63" s="30">
        <v>3</v>
      </c>
      <c r="E63" s="30">
        <v>50</v>
      </c>
      <c r="F63" s="30" t="s">
        <v>571</v>
      </c>
      <c r="G63" s="30"/>
      <c r="H63" s="30">
        <v>2.3025850000000001</v>
      </c>
      <c r="I63" s="30">
        <v>1.0986119999999999</v>
      </c>
      <c r="J63" s="30">
        <v>0</v>
      </c>
      <c r="K63" s="30">
        <v>1</v>
      </c>
      <c r="L63" s="30">
        <v>0</v>
      </c>
      <c r="M63" s="30">
        <v>0</v>
      </c>
      <c r="N63" s="30">
        <v>1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30">
        <v>0</v>
      </c>
      <c r="AF63" s="30">
        <v>0</v>
      </c>
      <c r="AG63" s="30">
        <v>0</v>
      </c>
      <c r="AH63" s="30">
        <v>0</v>
      </c>
      <c r="AI63" s="30">
        <v>0</v>
      </c>
      <c r="AJ63" s="30">
        <v>0</v>
      </c>
      <c r="AK63" s="30">
        <v>0</v>
      </c>
      <c r="AL63" s="30">
        <v>0</v>
      </c>
      <c r="AM63" s="30">
        <v>0</v>
      </c>
      <c r="AN63" s="30">
        <v>0</v>
      </c>
      <c r="AO63" s="30">
        <v>0</v>
      </c>
      <c r="AP63" s="30">
        <v>0</v>
      </c>
      <c r="AQ63" s="30">
        <v>0</v>
      </c>
      <c r="AR63" s="30">
        <v>0</v>
      </c>
      <c r="AS63" s="30">
        <v>0</v>
      </c>
      <c r="AT63" s="30">
        <v>0</v>
      </c>
      <c r="AU63" s="30">
        <v>0</v>
      </c>
      <c r="AV63" s="30">
        <v>0</v>
      </c>
      <c r="AW63" s="30">
        <v>0</v>
      </c>
      <c r="AX63" s="30">
        <v>0</v>
      </c>
      <c r="AY63" s="30">
        <v>0</v>
      </c>
    </row>
    <row r="64" spans="1:51">
      <c r="A64" s="30" t="s">
        <v>571</v>
      </c>
      <c r="B64" s="30" t="s">
        <v>581</v>
      </c>
      <c r="C64" s="30">
        <v>15</v>
      </c>
      <c r="D64" s="30">
        <v>2</v>
      </c>
      <c r="E64" s="30">
        <v>15</v>
      </c>
      <c r="F64" s="30" t="s">
        <v>571</v>
      </c>
      <c r="G64" s="30"/>
      <c r="H64" s="30">
        <v>2.7080500000000001</v>
      </c>
      <c r="I64" s="30">
        <v>0.69314699999999996</v>
      </c>
      <c r="J64" s="30">
        <v>0</v>
      </c>
      <c r="K64" s="30">
        <v>1</v>
      </c>
      <c r="L64" s="30">
        <v>0</v>
      </c>
      <c r="M64" s="30">
        <v>0</v>
      </c>
      <c r="N64" s="30">
        <v>1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30">
        <v>0</v>
      </c>
      <c r="AG64" s="30">
        <v>0</v>
      </c>
      <c r="AH64" s="30">
        <v>0</v>
      </c>
      <c r="AI64" s="30">
        <v>0</v>
      </c>
      <c r="AJ64" s="30">
        <v>0</v>
      </c>
      <c r="AK64" s="30">
        <v>0</v>
      </c>
      <c r="AL64" s="30">
        <v>0</v>
      </c>
      <c r="AM64" s="30">
        <v>0</v>
      </c>
      <c r="AN64" s="30">
        <v>0</v>
      </c>
      <c r="AO64" s="30">
        <v>0</v>
      </c>
      <c r="AP64" s="30">
        <v>0</v>
      </c>
      <c r="AQ64" s="30">
        <v>0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</row>
    <row r="65" spans="1:51">
      <c r="A65" s="30" t="s">
        <v>571</v>
      </c>
      <c r="B65" s="30" t="s">
        <v>582</v>
      </c>
      <c r="C65" s="30">
        <v>15</v>
      </c>
      <c r="D65" s="30">
        <v>267</v>
      </c>
      <c r="E65" s="30">
        <v>4125</v>
      </c>
      <c r="F65" s="30" t="s">
        <v>571</v>
      </c>
      <c r="G65" s="30"/>
      <c r="H65" s="30">
        <v>2.7080500000000001</v>
      </c>
      <c r="I65" s="30">
        <v>5.5872489999999999</v>
      </c>
      <c r="J65" s="30">
        <v>0</v>
      </c>
      <c r="K65" s="30">
        <v>1</v>
      </c>
      <c r="L65" s="30">
        <v>0</v>
      </c>
      <c r="M65" s="30">
        <v>0</v>
      </c>
      <c r="N65" s="30">
        <v>1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</row>
    <row r="66" spans="1:51">
      <c r="A66" s="30" t="s">
        <v>571</v>
      </c>
      <c r="B66" s="30" t="s">
        <v>583</v>
      </c>
      <c r="C66" s="30">
        <v>15</v>
      </c>
      <c r="D66" s="30">
        <v>240</v>
      </c>
      <c r="E66" s="30">
        <v>4440</v>
      </c>
      <c r="F66" s="30" t="s">
        <v>571</v>
      </c>
      <c r="G66" s="30"/>
      <c r="H66" s="30">
        <v>2.7080500000000001</v>
      </c>
      <c r="I66" s="30">
        <v>5.480639</v>
      </c>
      <c r="J66" s="30">
        <v>0</v>
      </c>
      <c r="K66" s="30">
        <v>1</v>
      </c>
      <c r="L66" s="30">
        <v>0</v>
      </c>
      <c r="M66" s="30">
        <v>0</v>
      </c>
      <c r="N66" s="30">
        <v>1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30">
        <v>0</v>
      </c>
      <c r="AG66" s="30">
        <v>0</v>
      </c>
      <c r="AH66" s="30">
        <v>0</v>
      </c>
      <c r="AI66" s="30">
        <v>0</v>
      </c>
      <c r="AJ66" s="30">
        <v>0</v>
      </c>
      <c r="AK66" s="30">
        <v>0</v>
      </c>
      <c r="AL66" s="30">
        <v>0</v>
      </c>
      <c r="AM66" s="30">
        <v>0</v>
      </c>
      <c r="AN66" s="30">
        <v>0</v>
      </c>
      <c r="AO66" s="30">
        <v>0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0</v>
      </c>
      <c r="AV66" s="30">
        <v>0</v>
      </c>
      <c r="AW66" s="30">
        <v>0</v>
      </c>
      <c r="AX66" s="30">
        <v>0</v>
      </c>
      <c r="AY66" s="30">
        <v>0</v>
      </c>
    </row>
    <row r="67" spans="1:51">
      <c r="A67" s="30" t="s">
        <v>571</v>
      </c>
      <c r="B67" s="30" t="s">
        <v>584</v>
      </c>
      <c r="C67" s="30">
        <v>15</v>
      </c>
      <c r="D67" s="30">
        <v>161</v>
      </c>
      <c r="E67" s="30">
        <v>3390</v>
      </c>
      <c r="F67" s="30" t="s">
        <v>571</v>
      </c>
      <c r="G67" s="30"/>
      <c r="H67" s="30">
        <v>2.7080500000000001</v>
      </c>
      <c r="I67" s="30">
        <v>5.081404</v>
      </c>
      <c r="J67" s="30">
        <v>0</v>
      </c>
      <c r="K67" s="30">
        <v>1</v>
      </c>
      <c r="L67" s="30">
        <v>0</v>
      </c>
      <c r="M67" s="30">
        <v>0</v>
      </c>
      <c r="N67" s="30">
        <v>1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</row>
    <row r="68" spans="1:51">
      <c r="A68" s="30" t="s">
        <v>571</v>
      </c>
      <c r="B68" s="30" t="s">
        <v>585</v>
      </c>
      <c r="C68" s="30">
        <v>15</v>
      </c>
      <c r="D68" s="30">
        <v>14</v>
      </c>
      <c r="E68" s="30">
        <v>195</v>
      </c>
      <c r="F68" s="30" t="s">
        <v>571</v>
      </c>
      <c r="G68" s="30"/>
      <c r="H68" s="30">
        <v>2.7080500000000001</v>
      </c>
      <c r="I68" s="30">
        <v>2.6390570000000002</v>
      </c>
      <c r="J68" s="30">
        <v>0</v>
      </c>
      <c r="K68" s="30">
        <v>1</v>
      </c>
      <c r="L68" s="30">
        <v>0</v>
      </c>
      <c r="M68" s="30">
        <v>0</v>
      </c>
      <c r="N68" s="30">
        <v>1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</row>
    <row r="69" spans="1:51">
      <c r="A69" s="30" t="s">
        <v>571</v>
      </c>
      <c r="B69" s="30" t="s">
        <v>586</v>
      </c>
      <c r="C69" s="30">
        <v>15</v>
      </c>
      <c r="D69" s="30">
        <v>47</v>
      </c>
      <c r="E69" s="30">
        <v>825</v>
      </c>
      <c r="F69" s="30" t="s">
        <v>571</v>
      </c>
      <c r="G69" s="30"/>
      <c r="H69" s="30">
        <v>2.7080500000000001</v>
      </c>
      <c r="I69" s="30">
        <v>3.8501479999999999</v>
      </c>
      <c r="J69" s="30">
        <v>0</v>
      </c>
      <c r="K69" s="30">
        <v>1</v>
      </c>
      <c r="L69" s="30">
        <v>0</v>
      </c>
      <c r="M69" s="30">
        <v>0</v>
      </c>
      <c r="N69" s="30">
        <v>1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30">
        <v>0</v>
      </c>
      <c r="AG69" s="30">
        <v>0</v>
      </c>
      <c r="AH69" s="30">
        <v>0</v>
      </c>
      <c r="AI69" s="30">
        <v>0</v>
      </c>
      <c r="AJ69" s="30">
        <v>0</v>
      </c>
      <c r="AK69" s="30">
        <v>0</v>
      </c>
      <c r="AL69" s="30">
        <v>0</v>
      </c>
      <c r="AM69" s="30">
        <v>0</v>
      </c>
      <c r="AN69" s="30">
        <v>0</v>
      </c>
      <c r="AO69" s="30">
        <v>0</v>
      </c>
      <c r="AP69" s="30">
        <v>0</v>
      </c>
      <c r="AQ69" s="30">
        <v>0</v>
      </c>
      <c r="AR69" s="30">
        <v>0</v>
      </c>
      <c r="AS69" s="30">
        <v>0</v>
      </c>
      <c r="AT69" s="30">
        <v>0</v>
      </c>
      <c r="AU69" s="30">
        <v>0</v>
      </c>
      <c r="AV69" s="30">
        <v>0</v>
      </c>
      <c r="AW69" s="30">
        <v>0</v>
      </c>
      <c r="AX69" s="30">
        <v>0</v>
      </c>
      <c r="AY69" s="30">
        <v>0</v>
      </c>
    </row>
    <row r="70" spans="1:51">
      <c r="A70" s="30" t="s">
        <v>571</v>
      </c>
      <c r="B70" s="30" t="s">
        <v>587</v>
      </c>
      <c r="C70" s="30">
        <v>15</v>
      </c>
      <c r="D70" s="30">
        <v>264</v>
      </c>
      <c r="E70" s="30">
        <v>5460</v>
      </c>
      <c r="F70" s="30" t="s">
        <v>571</v>
      </c>
      <c r="G70" s="30"/>
      <c r="H70" s="30">
        <v>2.7080500000000001</v>
      </c>
      <c r="I70" s="30">
        <v>5.5759489999999996</v>
      </c>
      <c r="J70" s="30">
        <v>0</v>
      </c>
      <c r="K70" s="30">
        <v>1</v>
      </c>
      <c r="L70" s="30">
        <v>0</v>
      </c>
      <c r="M70" s="30">
        <v>0</v>
      </c>
      <c r="N70" s="30">
        <v>1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30">
        <v>0</v>
      </c>
      <c r="AG70" s="30">
        <v>0</v>
      </c>
      <c r="AH70" s="30">
        <v>0</v>
      </c>
      <c r="AI70" s="30">
        <v>0</v>
      </c>
      <c r="AJ70" s="30">
        <v>0</v>
      </c>
      <c r="AK70" s="30">
        <v>0</v>
      </c>
      <c r="AL70" s="30">
        <v>0</v>
      </c>
      <c r="AM70" s="30">
        <v>0</v>
      </c>
      <c r="AN70" s="30">
        <v>0</v>
      </c>
      <c r="AO70" s="30">
        <v>0</v>
      </c>
      <c r="AP70" s="30">
        <v>0</v>
      </c>
      <c r="AQ70" s="30">
        <v>0</v>
      </c>
      <c r="AR70" s="30">
        <v>0</v>
      </c>
      <c r="AS70" s="30">
        <v>0</v>
      </c>
      <c r="AT70" s="30">
        <v>0</v>
      </c>
      <c r="AU70" s="30">
        <v>0</v>
      </c>
      <c r="AV70" s="30">
        <v>0</v>
      </c>
      <c r="AW70" s="30">
        <v>0</v>
      </c>
      <c r="AX70" s="30">
        <v>0</v>
      </c>
      <c r="AY70" s="30">
        <v>0</v>
      </c>
    </row>
    <row r="71" spans="1:51">
      <c r="A71" s="30" t="s">
        <v>571</v>
      </c>
      <c r="B71" s="30" t="s">
        <v>588</v>
      </c>
      <c r="C71" s="30">
        <v>15</v>
      </c>
      <c r="D71" s="30">
        <v>51</v>
      </c>
      <c r="E71" s="30">
        <v>1065</v>
      </c>
      <c r="F71" s="30" t="s">
        <v>571</v>
      </c>
      <c r="G71" s="30"/>
      <c r="H71" s="30">
        <v>2.7080500000000001</v>
      </c>
      <c r="I71" s="30">
        <v>3.931826</v>
      </c>
      <c r="J71" s="30">
        <v>0</v>
      </c>
      <c r="K71" s="30">
        <v>1</v>
      </c>
      <c r="L71" s="30">
        <v>0</v>
      </c>
      <c r="M71" s="30">
        <v>0</v>
      </c>
      <c r="N71" s="30">
        <v>1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30">
        <v>0</v>
      </c>
      <c r="AG71" s="30">
        <v>0</v>
      </c>
      <c r="AH71" s="30">
        <v>0</v>
      </c>
      <c r="AI71" s="30">
        <v>0</v>
      </c>
      <c r="AJ71" s="30">
        <v>0</v>
      </c>
      <c r="AK71" s="30">
        <v>0</v>
      </c>
      <c r="AL71" s="30">
        <v>0</v>
      </c>
      <c r="AM71" s="30">
        <v>0</v>
      </c>
      <c r="AN71" s="30">
        <v>0</v>
      </c>
      <c r="AO71" s="30">
        <v>0</v>
      </c>
      <c r="AP71" s="30">
        <v>0</v>
      </c>
      <c r="AQ71" s="30">
        <v>0</v>
      </c>
      <c r="AR71" s="30">
        <v>0</v>
      </c>
      <c r="AS71" s="30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</row>
    <row r="72" spans="1:51">
      <c r="A72" s="30" t="s">
        <v>571</v>
      </c>
      <c r="B72" s="30" t="s">
        <v>582</v>
      </c>
      <c r="C72" s="30">
        <v>15</v>
      </c>
      <c r="D72" s="30">
        <v>160</v>
      </c>
      <c r="E72" s="30">
        <v>2430</v>
      </c>
      <c r="F72" s="30" t="s">
        <v>571</v>
      </c>
      <c r="G72" s="30"/>
      <c r="H72" s="30">
        <v>2.7080500000000001</v>
      </c>
      <c r="I72" s="30">
        <v>5.0751739999999996</v>
      </c>
      <c r="J72" s="30">
        <v>0</v>
      </c>
      <c r="K72" s="30">
        <v>1</v>
      </c>
      <c r="L72" s="30">
        <v>0</v>
      </c>
      <c r="M72" s="30">
        <v>0</v>
      </c>
      <c r="N72" s="30">
        <v>1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30">
        <v>0</v>
      </c>
      <c r="AG72" s="30">
        <v>0</v>
      </c>
      <c r="AH72" s="30">
        <v>0</v>
      </c>
      <c r="AI72" s="30">
        <v>0</v>
      </c>
      <c r="AJ72" s="30">
        <v>0</v>
      </c>
      <c r="AK72" s="30">
        <v>0</v>
      </c>
      <c r="AL72" s="30">
        <v>0</v>
      </c>
      <c r="AM72" s="30">
        <v>0</v>
      </c>
      <c r="AN72" s="30">
        <v>0</v>
      </c>
      <c r="AO72" s="30">
        <v>0</v>
      </c>
      <c r="AP72" s="30">
        <v>0</v>
      </c>
      <c r="AQ72" s="30">
        <v>0</v>
      </c>
      <c r="AR72" s="30">
        <v>0</v>
      </c>
      <c r="AS72" s="30">
        <v>0</v>
      </c>
      <c r="AT72" s="30">
        <v>0</v>
      </c>
      <c r="AU72" s="30">
        <v>0</v>
      </c>
      <c r="AV72" s="30">
        <v>0</v>
      </c>
      <c r="AW72" s="30">
        <v>0</v>
      </c>
      <c r="AX72" s="30">
        <v>0</v>
      </c>
      <c r="AY72" s="30">
        <v>0</v>
      </c>
    </row>
    <row r="73" spans="1:51">
      <c r="A73" s="30" t="s">
        <v>571</v>
      </c>
      <c r="B73" s="30" t="s">
        <v>583</v>
      </c>
      <c r="C73" s="30">
        <v>15</v>
      </c>
      <c r="D73" s="30">
        <v>2</v>
      </c>
      <c r="E73" s="30">
        <v>15</v>
      </c>
      <c r="F73" s="30" t="s">
        <v>571</v>
      </c>
      <c r="G73" s="30"/>
      <c r="H73" s="30">
        <v>2.7080500000000001</v>
      </c>
      <c r="I73" s="30">
        <v>0.69314699999999996</v>
      </c>
      <c r="J73" s="30">
        <v>0</v>
      </c>
      <c r="K73" s="30">
        <v>1</v>
      </c>
      <c r="L73" s="30">
        <v>0</v>
      </c>
      <c r="M73" s="30">
        <v>0</v>
      </c>
      <c r="N73" s="30">
        <v>1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30">
        <v>0</v>
      </c>
      <c r="AG73" s="30">
        <v>0</v>
      </c>
      <c r="AH73" s="30">
        <v>0</v>
      </c>
      <c r="AI73" s="30">
        <v>0</v>
      </c>
      <c r="AJ73" s="30">
        <v>0</v>
      </c>
      <c r="AK73" s="30">
        <v>0</v>
      </c>
      <c r="AL73" s="30">
        <v>0</v>
      </c>
      <c r="AM73" s="30">
        <v>0</v>
      </c>
      <c r="AN73" s="30">
        <v>0</v>
      </c>
      <c r="AO73" s="30">
        <v>0</v>
      </c>
      <c r="AP73" s="30">
        <v>0</v>
      </c>
      <c r="AQ73" s="30">
        <v>0</v>
      </c>
      <c r="AR73" s="30">
        <v>0</v>
      </c>
      <c r="AS73" s="30">
        <v>0</v>
      </c>
      <c r="AT73" s="30">
        <v>0</v>
      </c>
      <c r="AU73" s="30">
        <v>0</v>
      </c>
      <c r="AV73" s="30">
        <v>0</v>
      </c>
      <c r="AW73" s="30">
        <v>0</v>
      </c>
      <c r="AX73" s="30">
        <v>0</v>
      </c>
      <c r="AY73" s="30">
        <v>0</v>
      </c>
    </row>
    <row r="74" spans="1:51">
      <c r="A74" s="30" t="s">
        <v>571</v>
      </c>
      <c r="B74" s="30" t="s">
        <v>584</v>
      </c>
      <c r="C74" s="30">
        <v>15</v>
      </c>
      <c r="D74" s="30">
        <v>466</v>
      </c>
      <c r="E74" s="30">
        <v>8325</v>
      </c>
      <c r="F74" s="30" t="s">
        <v>571</v>
      </c>
      <c r="G74" s="30"/>
      <c r="H74" s="30">
        <v>2.7080500000000001</v>
      </c>
      <c r="I74" s="30">
        <v>6.1441860000000004</v>
      </c>
      <c r="J74" s="30">
        <v>0</v>
      </c>
      <c r="K74" s="30">
        <v>1</v>
      </c>
      <c r="L74" s="30">
        <v>0</v>
      </c>
      <c r="M74" s="30">
        <v>0</v>
      </c>
      <c r="N74" s="30">
        <v>1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30">
        <v>0</v>
      </c>
      <c r="AG74" s="30">
        <v>0</v>
      </c>
      <c r="AH74" s="30">
        <v>0</v>
      </c>
      <c r="AI74" s="30">
        <v>0</v>
      </c>
      <c r="AJ74" s="30">
        <v>0</v>
      </c>
      <c r="AK74" s="30">
        <v>0</v>
      </c>
      <c r="AL74" s="30">
        <v>0</v>
      </c>
      <c r="AM74" s="30">
        <v>0</v>
      </c>
      <c r="AN74" s="30">
        <v>0</v>
      </c>
      <c r="AO74" s="30">
        <v>0</v>
      </c>
      <c r="AP74" s="30">
        <v>0</v>
      </c>
      <c r="AQ74" s="30">
        <v>0</v>
      </c>
      <c r="AR74" s="30">
        <v>0</v>
      </c>
      <c r="AS74" s="30">
        <v>0</v>
      </c>
      <c r="AT74" s="30">
        <v>0</v>
      </c>
      <c r="AU74" s="30">
        <v>0</v>
      </c>
      <c r="AV74" s="30">
        <v>0</v>
      </c>
      <c r="AW74" s="30">
        <v>0</v>
      </c>
      <c r="AX74" s="30">
        <v>0</v>
      </c>
      <c r="AY74" s="30">
        <v>0</v>
      </c>
    </row>
    <row r="75" spans="1:51">
      <c r="A75" s="30" t="s">
        <v>571</v>
      </c>
      <c r="B75" s="30" t="s">
        <v>586</v>
      </c>
      <c r="C75" s="30">
        <v>15</v>
      </c>
      <c r="D75" s="30">
        <v>3</v>
      </c>
      <c r="E75" s="30">
        <v>45</v>
      </c>
      <c r="F75" s="30" t="s">
        <v>571</v>
      </c>
      <c r="G75" s="30"/>
      <c r="H75" s="30">
        <v>2.7080500000000001</v>
      </c>
      <c r="I75" s="30">
        <v>1.0986119999999999</v>
      </c>
      <c r="J75" s="30">
        <v>0</v>
      </c>
      <c r="K75" s="30">
        <v>1</v>
      </c>
      <c r="L75" s="30">
        <v>0</v>
      </c>
      <c r="M75" s="30">
        <v>0</v>
      </c>
      <c r="N75" s="30">
        <v>1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30">
        <v>0</v>
      </c>
      <c r="AG75" s="30">
        <v>0</v>
      </c>
      <c r="AH75" s="30">
        <v>0</v>
      </c>
      <c r="AI75" s="30">
        <v>0</v>
      </c>
      <c r="AJ75" s="30">
        <v>0</v>
      </c>
      <c r="AK75" s="30">
        <v>0</v>
      </c>
      <c r="AL75" s="30">
        <v>0</v>
      </c>
      <c r="AM75" s="30">
        <v>0</v>
      </c>
      <c r="AN75" s="30">
        <v>0</v>
      </c>
      <c r="AO75" s="30">
        <v>0</v>
      </c>
      <c r="AP75" s="30">
        <v>0</v>
      </c>
      <c r="AQ75" s="30">
        <v>0</v>
      </c>
      <c r="AR75" s="30">
        <v>0</v>
      </c>
      <c r="AS75" s="30">
        <v>0</v>
      </c>
      <c r="AT75" s="30">
        <v>0</v>
      </c>
      <c r="AU75" s="30">
        <v>0</v>
      </c>
      <c r="AV75" s="30">
        <v>0</v>
      </c>
      <c r="AW75" s="30">
        <v>0</v>
      </c>
      <c r="AX75" s="30">
        <v>0</v>
      </c>
      <c r="AY75" s="30">
        <v>0</v>
      </c>
    </row>
    <row r="76" spans="1:51">
      <c r="A76" s="30" t="s">
        <v>571</v>
      </c>
      <c r="B76" s="30" t="s">
        <v>587</v>
      </c>
      <c r="C76" s="30">
        <v>15</v>
      </c>
      <c r="D76" s="30">
        <v>158</v>
      </c>
      <c r="E76" s="30">
        <v>2775</v>
      </c>
      <c r="F76" s="30" t="s">
        <v>571</v>
      </c>
      <c r="G76" s="30"/>
      <c r="H76" s="30">
        <v>2.7080500000000001</v>
      </c>
      <c r="I76" s="30">
        <v>5.062595</v>
      </c>
      <c r="J76" s="30">
        <v>0</v>
      </c>
      <c r="K76" s="30">
        <v>1</v>
      </c>
      <c r="L76" s="30">
        <v>0</v>
      </c>
      <c r="M76" s="30">
        <v>0</v>
      </c>
      <c r="N76" s="30">
        <v>1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30">
        <v>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0</v>
      </c>
      <c r="AY76" s="30">
        <v>0</v>
      </c>
    </row>
    <row r="77" spans="1:51">
      <c r="A77" s="30" t="s">
        <v>571</v>
      </c>
      <c r="B77" s="30" t="s">
        <v>589</v>
      </c>
      <c r="C77" s="30">
        <v>15</v>
      </c>
      <c r="D77" s="30">
        <v>3</v>
      </c>
      <c r="E77" s="30">
        <v>45</v>
      </c>
      <c r="F77" s="30" t="s">
        <v>571</v>
      </c>
      <c r="G77" s="30"/>
      <c r="H77" s="30">
        <v>2.7080500000000001</v>
      </c>
      <c r="I77" s="30">
        <v>1.0986119999999999</v>
      </c>
      <c r="J77" s="30">
        <v>0</v>
      </c>
      <c r="K77" s="30">
        <v>1</v>
      </c>
      <c r="L77" s="30">
        <v>0</v>
      </c>
      <c r="M77" s="30">
        <v>0</v>
      </c>
      <c r="N77" s="30">
        <v>1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</row>
    <row r="78" spans="1:51">
      <c r="A78" s="30" t="s">
        <v>571</v>
      </c>
      <c r="B78" s="30" t="s">
        <v>590</v>
      </c>
      <c r="C78" s="30">
        <v>20</v>
      </c>
      <c r="D78" s="30">
        <v>1532</v>
      </c>
      <c r="E78" s="30">
        <v>9560</v>
      </c>
      <c r="F78" s="30" t="s">
        <v>571</v>
      </c>
      <c r="G78" s="30"/>
      <c r="H78" s="30">
        <v>2.9957319999999998</v>
      </c>
      <c r="I78" s="30">
        <v>7.3343290000000003</v>
      </c>
      <c r="J78" s="30">
        <v>0</v>
      </c>
      <c r="K78" s="30">
        <v>1</v>
      </c>
      <c r="L78" s="30">
        <v>0</v>
      </c>
      <c r="M78" s="30">
        <v>0</v>
      </c>
      <c r="N78" s="30">
        <v>1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30">
        <v>0</v>
      </c>
      <c r="AG78" s="30">
        <v>0</v>
      </c>
      <c r="AH78" s="30">
        <v>0</v>
      </c>
      <c r="AI78" s="30">
        <v>0</v>
      </c>
      <c r="AJ78" s="30">
        <v>0</v>
      </c>
      <c r="AK78" s="30">
        <v>0</v>
      </c>
      <c r="AL78" s="30">
        <v>0</v>
      </c>
      <c r="AM78" s="30">
        <v>0</v>
      </c>
      <c r="AN78" s="30">
        <v>0</v>
      </c>
      <c r="AO78" s="30">
        <v>0</v>
      </c>
      <c r="AP78" s="30">
        <v>0</v>
      </c>
      <c r="AQ78" s="30">
        <v>0</v>
      </c>
      <c r="AR78" s="30">
        <v>0</v>
      </c>
      <c r="AS78" s="30">
        <v>0</v>
      </c>
      <c r="AT78" s="30">
        <v>0</v>
      </c>
      <c r="AU78" s="30">
        <v>0</v>
      </c>
      <c r="AV78" s="30">
        <v>0</v>
      </c>
      <c r="AW78" s="30">
        <v>0</v>
      </c>
      <c r="AX78" s="30">
        <v>0</v>
      </c>
      <c r="AY78" s="30">
        <v>0</v>
      </c>
    </row>
    <row r="79" spans="1:51">
      <c r="A79" s="30" t="s">
        <v>571</v>
      </c>
      <c r="B79" s="30" t="s">
        <v>591</v>
      </c>
      <c r="C79" s="30">
        <v>20</v>
      </c>
      <c r="D79" s="30">
        <v>4</v>
      </c>
      <c r="E79" s="30">
        <v>95</v>
      </c>
      <c r="F79" s="30" t="s">
        <v>571</v>
      </c>
      <c r="G79" s="30"/>
      <c r="H79" s="30">
        <v>2.9957319999999998</v>
      </c>
      <c r="I79" s="30">
        <v>1.3862939999999999</v>
      </c>
      <c r="J79" s="30">
        <v>0</v>
      </c>
      <c r="K79" s="30">
        <v>1</v>
      </c>
      <c r="L79" s="30">
        <v>0</v>
      </c>
      <c r="M79" s="30">
        <v>0</v>
      </c>
      <c r="N79" s="30">
        <v>1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30">
        <v>0</v>
      </c>
      <c r="AG79" s="30">
        <v>0</v>
      </c>
      <c r="AH79" s="30">
        <v>0</v>
      </c>
      <c r="AI79" s="30">
        <v>0</v>
      </c>
      <c r="AJ79" s="30">
        <v>0</v>
      </c>
      <c r="AK79" s="30">
        <v>0</v>
      </c>
      <c r="AL79" s="30">
        <v>0</v>
      </c>
      <c r="AM79" s="30">
        <v>0</v>
      </c>
      <c r="AN79" s="30">
        <v>0</v>
      </c>
      <c r="AO79" s="30">
        <v>0</v>
      </c>
      <c r="AP79" s="30">
        <v>0</v>
      </c>
      <c r="AQ79" s="30">
        <v>0</v>
      </c>
      <c r="AR79" s="30">
        <v>0</v>
      </c>
      <c r="AS79" s="30">
        <v>0</v>
      </c>
      <c r="AT79" s="30">
        <v>0</v>
      </c>
      <c r="AU79" s="30">
        <v>0</v>
      </c>
      <c r="AV79" s="30">
        <v>0</v>
      </c>
      <c r="AW79" s="30">
        <v>0</v>
      </c>
      <c r="AX79" s="30">
        <v>0</v>
      </c>
      <c r="AY79" s="30">
        <v>0</v>
      </c>
    </row>
    <row r="80" spans="1:51">
      <c r="A80" s="30" t="s">
        <v>571</v>
      </c>
      <c r="B80" s="30" t="s">
        <v>592</v>
      </c>
      <c r="C80" s="30">
        <v>20</v>
      </c>
      <c r="D80" s="30">
        <v>81</v>
      </c>
      <c r="E80" s="30">
        <v>1920</v>
      </c>
      <c r="F80" s="30" t="s">
        <v>571</v>
      </c>
      <c r="G80" s="30"/>
      <c r="H80" s="30">
        <v>2.9957319999999998</v>
      </c>
      <c r="I80" s="30">
        <v>4.3944489999999998</v>
      </c>
      <c r="J80" s="30">
        <v>0</v>
      </c>
      <c r="K80" s="30">
        <v>1</v>
      </c>
      <c r="L80" s="30">
        <v>0</v>
      </c>
      <c r="M80" s="30">
        <v>0</v>
      </c>
      <c r="N80" s="30">
        <v>1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30">
        <v>0</v>
      </c>
      <c r="AF80" s="30">
        <v>0</v>
      </c>
      <c r="AG80" s="30">
        <v>0</v>
      </c>
      <c r="AH80" s="30">
        <v>0</v>
      </c>
      <c r="AI80" s="30">
        <v>0</v>
      </c>
      <c r="AJ80" s="30">
        <v>0</v>
      </c>
      <c r="AK80" s="30">
        <v>0</v>
      </c>
      <c r="AL80" s="30">
        <v>0</v>
      </c>
      <c r="AM80" s="30">
        <v>0</v>
      </c>
      <c r="AN80" s="30">
        <v>0</v>
      </c>
      <c r="AO80" s="30">
        <v>0</v>
      </c>
      <c r="AP80" s="30">
        <v>0</v>
      </c>
      <c r="AQ80" s="30">
        <v>0</v>
      </c>
      <c r="AR80" s="30">
        <v>0</v>
      </c>
      <c r="AS80" s="30">
        <v>0</v>
      </c>
      <c r="AT80" s="30">
        <v>0</v>
      </c>
      <c r="AU80" s="30">
        <v>0</v>
      </c>
      <c r="AV80" s="30">
        <v>0</v>
      </c>
      <c r="AW80" s="30">
        <v>0</v>
      </c>
      <c r="AX80" s="30">
        <v>0</v>
      </c>
      <c r="AY80" s="30">
        <v>0</v>
      </c>
    </row>
    <row r="81" spans="1:51">
      <c r="A81" s="30" t="s">
        <v>571</v>
      </c>
      <c r="B81" s="30" t="s">
        <v>593</v>
      </c>
      <c r="C81" s="30">
        <v>20</v>
      </c>
      <c r="D81" s="30">
        <v>33</v>
      </c>
      <c r="E81" s="30">
        <v>760</v>
      </c>
      <c r="F81" s="30" t="s">
        <v>571</v>
      </c>
      <c r="G81" s="30"/>
      <c r="H81" s="30">
        <v>2.9957319999999998</v>
      </c>
      <c r="I81" s="30">
        <v>3.4965079999999999</v>
      </c>
      <c r="J81" s="30">
        <v>0</v>
      </c>
      <c r="K81" s="30">
        <v>1</v>
      </c>
      <c r="L81" s="30">
        <v>0</v>
      </c>
      <c r="M81" s="30">
        <v>0</v>
      </c>
      <c r="N81" s="30">
        <v>1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30">
        <v>0</v>
      </c>
      <c r="AG81" s="30">
        <v>0</v>
      </c>
      <c r="AH81" s="30">
        <v>0</v>
      </c>
      <c r="AI81" s="30">
        <v>0</v>
      </c>
      <c r="AJ81" s="30">
        <v>0</v>
      </c>
      <c r="AK81" s="30">
        <v>0</v>
      </c>
      <c r="AL81" s="30">
        <v>0</v>
      </c>
      <c r="AM81" s="30">
        <v>0</v>
      </c>
      <c r="AN81" s="30">
        <v>0</v>
      </c>
      <c r="AO81" s="30">
        <v>0</v>
      </c>
      <c r="AP81" s="30">
        <v>0</v>
      </c>
      <c r="AQ81" s="30">
        <v>0</v>
      </c>
      <c r="AR81" s="30">
        <v>0</v>
      </c>
      <c r="AS81" s="30">
        <v>0</v>
      </c>
      <c r="AT81" s="30">
        <v>0</v>
      </c>
      <c r="AU81" s="30">
        <v>0</v>
      </c>
      <c r="AV81" s="30">
        <v>0</v>
      </c>
      <c r="AW81" s="30">
        <v>0</v>
      </c>
      <c r="AX81" s="30">
        <v>0</v>
      </c>
      <c r="AY81" s="30">
        <v>0</v>
      </c>
    </row>
    <row r="82" spans="1:51">
      <c r="A82" s="30" t="s">
        <v>571</v>
      </c>
      <c r="B82" s="30" t="s">
        <v>594</v>
      </c>
      <c r="C82" s="30">
        <v>20</v>
      </c>
      <c r="D82" s="30">
        <v>6</v>
      </c>
      <c r="E82" s="30">
        <v>120</v>
      </c>
      <c r="F82" s="30" t="s">
        <v>571</v>
      </c>
      <c r="G82" s="30"/>
      <c r="H82" s="30">
        <v>2.9957319999999998</v>
      </c>
      <c r="I82" s="30">
        <v>1.7917590000000001</v>
      </c>
      <c r="J82" s="30">
        <v>0</v>
      </c>
      <c r="K82" s="30">
        <v>1</v>
      </c>
      <c r="L82" s="30">
        <v>0</v>
      </c>
      <c r="M82" s="30">
        <v>0</v>
      </c>
      <c r="N82" s="30">
        <v>1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30">
        <v>0</v>
      </c>
      <c r="AG82" s="30">
        <v>0</v>
      </c>
      <c r="AH82" s="30">
        <v>0</v>
      </c>
      <c r="AI82" s="30">
        <v>0</v>
      </c>
      <c r="AJ82" s="30">
        <v>0</v>
      </c>
      <c r="AK82" s="30">
        <v>0</v>
      </c>
      <c r="AL82" s="30">
        <v>0</v>
      </c>
      <c r="AM82" s="30">
        <v>0</v>
      </c>
      <c r="AN82" s="30">
        <v>0</v>
      </c>
      <c r="AO82" s="30">
        <v>0</v>
      </c>
      <c r="AP82" s="30">
        <v>0</v>
      </c>
      <c r="AQ82" s="30">
        <v>0</v>
      </c>
      <c r="AR82" s="30">
        <v>0</v>
      </c>
      <c r="AS82" s="30">
        <v>0</v>
      </c>
      <c r="AT82" s="30">
        <v>0</v>
      </c>
      <c r="AU82" s="30">
        <v>0</v>
      </c>
      <c r="AV82" s="30">
        <v>0</v>
      </c>
      <c r="AW82" s="30">
        <v>0</v>
      </c>
      <c r="AX82" s="30">
        <v>0</v>
      </c>
      <c r="AY82" s="30">
        <v>0</v>
      </c>
    </row>
    <row r="83" spans="1:51">
      <c r="A83" s="30" t="s">
        <v>571</v>
      </c>
      <c r="B83" s="30" t="s">
        <v>589</v>
      </c>
      <c r="C83" s="30">
        <v>20</v>
      </c>
      <c r="D83" s="30">
        <v>21</v>
      </c>
      <c r="E83" s="30">
        <v>735</v>
      </c>
      <c r="F83" s="30" t="s">
        <v>571</v>
      </c>
      <c r="G83" s="30"/>
      <c r="H83" s="30">
        <v>2.9957319999999998</v>
      </c>
      <c r="I83" s="30">
        <v>3.0445220000000002</v>
      </c>
      <c r="J83" s="30">
        <v>0</v>
      </c>
      <c r="K83" s="30">
        <v>1</v>
      </c>
      <c r="L83" s="30">
        <v>0</v>
      </c>
      <c r="M83" s="30">
        <v>0</v>
      </c>
      <c r="N83" s="30">
        <v>1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30">
        <v>0</v>
      </c>
      <c r="AG83" s="30">
        <v>0</v>
      </c>
      <c r="AH83" s="30">
        <v>0</v>
      </c>
      <c r="AI83" s="30">
        <v>0</v>
      </c>
      <c r="AJ83" s="30">
        <v>0</v>
      </c>
      <c r="AK83" s="30">
        <v>0</v>
      </c>
      <c r="AL83" s="30">
        <v>0</v>
      </c>
      <c r="AM83" s="30">
        <v>0</v>
      </c>
      <c r="AN83" s="30">
        <v>0</v>
      </c>
      <c r="AO83" s="30">
        <v>0</v>
      </c>
      <c r="AP83" s="30">
        <v>0</v>
      </c>
      <c r="AQ83" s="30">
        <v>0</v>
      </c>
      <c r="AR83" s="30">
        <v>0</v>
      </c>
      <c r="AS83" s="30">
        <v>0</v>
      </c>
      <c r="AT83" s="30">
        <v>0</v>
      </c>
      <c r="AU83" s="30">
        <v>0</v>
      </c>
      <c r="AV83" s="30">
        <v>0</v>
      </c>
      <c r="AW83" s="30">
        <v>0</v>
      </c>
      <c r="AX83" s="30">
        <v>0</v>
      </c>
      <c r="AY83" s="30">
        <v>0</v>
      </c>
    </row>
    <row r="84" spans="1:51">
      <c r="A84" s="30" t="s">
        <v>571</v>
      </c>
      <c r="B84" s="30" t="s">
        <v>595</v>
      </c>
      <c r="C84" s="30">
        <v>20</v>
      </c>
      <c r="D84" s="30">
        <v>439</v>
      </c>
      <c r="E84" s="30">
        <v>970</v>
      </c>
      <c r="F84" s="30" t="s">
        <v>571</v>
      </c>
      <c r="G84" s="30"/>
      <c r="H84" s="30">
        <v>2.9957319999999998</v>
      </c>
      <c r="I84" s="30">
        <v>6.0844990000000001</v>
      </c>
      <c r="J84" s="30">
        <v>0</v>
      </c>
      <c r="K84" s="30">
        <v>1</v>
      </c>
      <c r="L84" s="30">
        <v>0</v>
      </c>
      <c r="M84" s="30">
        <v>0</v>
      </c>
      <c r="N84" s="30">
        <v>1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</row>
    <row r="85" spans="1:51">
      <c r="A85" s="30" t="s">
        <v>571</v>
      </c>
      <c r="B85" s="30" t="s">
        <v>596</v>
      </c>
      <c r="C85" s="30">
        <v>20</v>
      </c>
      <c r="D85" s="30">
        <v>95</v>
      </c>
      <c r="E85" s="30">
        <v>2110</v>
      </c>
      <c r="F85" s="30" t="s">
        <v>571</v>
      </c>
      <c r="G85" s="30"/>
      <c r="H85" s="30">
        <v>2.9957319999999998</v>
      </c>
      <c r="I85" s="30">
        <v>4.553877</v>
      </c>
      <c r="J85" s="30">
        <v>0</v>
      </c>
      <c r="K85" s="30">
        <v>1</v>
      </c>
      <c r="L85" s="30">
        <v>0</v>
      </c>
      <c r="M85" s="30">
        <v>0</v>
      </c>
      <c r="N85" s="30">
        <v>1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</row>
    <row r="86" spans="1:51">
      <c r="A86" s="30" t="s">
        <v>571</v>
      </c>
      <c r="B86" s="30" t="s">
        <v>593</v>
      </c>
      <c r="C86" s="30">
        <v>20</v>
      </c>
      <c r="D86" s="30">
        <v>2</v>
      </c>
      <c r="E86" s="30">
        <v>40</v>
      </c>
      <c r="F86" s="30" t="s">
        <v>571</v>
      </c>
      <c r="G86" s="30"/>
      <c r="H86" s="30">
        <v>2.9957319999999998</v>
      </c>
      <c r="I86" s="30">
        <v>0.69314699999999996</v>
      </c>
      <c r="J86" s="30">
        <v>0</v>
      </c>
      <c r="K86" s="30">
        <v>1</v>
      </c>
      <c r="L86" s="30">
        <v>0</v>
      </c>
      <c r="M86" s="30">
        <v>0</v>
      </c>
      <c r="N86" s="30">
        <v>1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</row>
    <row r="87" spans="1:51">
      <c r="A87" s="30" t="s">
        <v>571</v>
      </c>
      <c r="B87" s="30" t="s">
        <v>597</v>
      </c>
      <c r="C87" s="30">
        <v>25</v>
      </c>
      <c r="D87" s="30">
        <v>318</v>
      </c>
      <c r="E87" s="30">
        <v>500</v>
      </c>
      <c r="F87" s="30" t="s">
        <v>571</v>
      </c>
      <c r="G87" s="30"/>
      <c r="H87" s="30">
        <v>3.2188759999999998</v>
      </c>
      <c r="I87" s="30">
        <v>5.7620509999999996</v>
      </c>
      <c r="J87" s="30">
        <v>0</v>
      </c>
      <c r="K87" s="30">
        <v>1</v>
      </c>
      <c r="L87" s="30">
        <v>0</v>
      </c>
      <c r="M87" s="30">
        <v>0</v>
      </c>
      <c r="N87" s="30">
        <v>1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30">
        <v>0</v>
      </c>
      <c r="AG87" s="30">
        <v>0</v>
      </c>
      <c r="AH87" s="30">
        <v>0</v>
      </c>
      <c r="AI87" s="30">
        <v>0</v>
      </c>
      <c r="AJ87" s="30">
        <v>0</v>
      </c>
      <c r="AK87" s="30">
        <v>0</v>
      </c>
      <c r="AL87" s="30">
        <v>0</v>
      </c>
      <c r="AM87" s="30">
        <v>0</v>
      </c>
      <c r="AN87" s="30">
        <v>0</v>
      </c>
      <c r="AO87" s="30">
        <v>0</v>
      </c>
      <c r="AP87" s="30">
        <v>0</v>
      </c>
      <c r="AQ87" s="30">
        <v>0</v>
      </c>
      <c r="AR87" s="30">
        <v>0</v>
      </c>
      <c r="AS87" s="30">
        <v>0</v>
      </c>
      <c r="AT87" s="30">
        <v>0</v>
      </c>
      <c r="AU87" s="30">
        <v>0</v>
      </c>
      <c r="AV87" s="30">
        <v>0</v>
      </c>
      <c r="AW87" s="30">
        <v>0</v>
      </c>
      <c r="AX87" s="30">
        <v>0</v>
      </c>
      <c r="AY87" s="30">
        <v>0</v>
      </c>
    </row>
    <row r="88" spans="1:51">
      <c r="A88" s="30" t="s">
        <v>571</v>
      </c>
      <c r="B88" s="30" t="s">
        <v>598</v>
      </c>
      <c r="C88" s="30">
        <v>25</v>
      </c>
      <c r="D88" s="30">
        <v>98</v>
      </c>
      <c r="E88" s="30">
        <v>2725</v>
      </c>
      <c r="F88" s="30" t="s">
        <v>571</v>
      </c>
      <c r="G88" s="30"/>
      <c r="H88" s="30">
        <v>3.2188759999999998</v>
      </c>
      <c r="I88" s="30">
        <v>4.5849669999999998</v>
      </c>
      <c r="J88" s="30">
        <v>0</v>
      </c>
      <c r="K88" s="30">
        <v>1</v>
      </c>
      <c r="L88" s="30">
        <v>0</v>
      </c>
      <c r="M88" s="30">
        <v>0</v>
      </c>
      <c r="N88" s="30">
        <v>1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0</v>
      </c>
      <c r="AL88" s="30">
        <v>0</v>
      </c>
      <c r="AM88" s="30">
        <v>0</v>
      </c>
      <c r="AN88" s="30">
        <v>0</v>
      </c>
      <c r="AO88" s="30">
        <v>0</v>
      </c>
      <c r="AP88" s="30">
        <v>0</v>
      </c>
      <c r="AQ88" s="30">
        <v>0</v>
      </c>
      <c r="AR88" s="30">
        <v>0</v>
      </c>
      <c r="AS88" s="30">
        <v>0</v>
      </c>
      <c r="AT88" s="30">
        <v>0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</row>
    <row r="89" spans="1:51">
      <c r="A89" s="30" t="s">
        <v>571</v>
      </c>
      <c r="B89" s="30" t="s">
        <v>599</v>
      </c>
      <c r="C89" s="30">
        <v>25</v>
      </c>
      <c r="D89" s="30">
        <v>288</v>
      </c>
      <c r="E89" s="30">
        <v>375</v>
      </c>
      <c r="F89" s="30" t="s">
        <v>571</v>
      </c>
      <c r="G89" s="30"/>
      <c r="H89" s="30">
        <v>3.2188759999999998</v>
      </c>
      <c r="I89" s="30">
        <v>5.66296</v>
      </c>
      <c r="J89" s="30">
        <v>0</v>
      </c>
      <c r="K89" s="30">
        <v>1</v>
      </c>
      <c r="L89" s="30">
        <v>0</v>
      </c>
      <c r="M89" s="30">
        <v>0</v>
      </c>
      <c r="N89" s="30">
        <v>1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30">
        <v>0</v>
      </c>
      <c r="AG89" s="30">
        <v>0</v>
      </c>
      <c r="AH89" s="30">
        <v>0</v>
      </c>
      <c r="AI89" s="30">
        <v>0</v>
      </c>
      <c r="AJ89" s="30">
        <v>0</v>
      </c>
      <c r="AK89" s="30">
        <v>0</v>
      </c>
      <c r="AL89" s="30">
        <v>0</v>
      </c>
      <c r="AM89" s="30">
        <v>0</v>
      </c>
      <c r="AN89" s="30">
        <v>0</v>
      </c>
      <c r="AO89" s="30">
        <v>0</v>
      </c>
      <c r="AP89" s="30">
        <v>0</v>
      </c>
      <c r="AQ89" s="30">
        <v>0</v>
      </c>
      <c r="AR89" s="30">
        <v>0</v>
      </c>
      <c r="AS89" s="30">
        <v>0</v>
      </c>
      <c r="AT89" s="30">
        <v>0</v>
      </c>
      <c r="AU89" s="30">
        <v>0</v>
      </c>
      <c r="AV89" s="30">
        <v>0</v>
      </c>
      <c r="AW89" s="30">
        <v>0</v>
      </c>
      <c r="AX89" s="30">
        <v>0</v>
      </c>
      <c r="AY89" s="30">
        <v>0</v>
      </c>
    </row>
    <row r="90" spans="1:51">
      <c r="A90" s="30" t="s">
        <v>571</v>
      </c>
      <c r="B90" s="30" t="s">
        <v>598</v>
      </c>
      <c r="C90" s="30">
        <v>25</v>
      </c>
      <c r="D90" s="30">
        <v>35</v>
      </c>
      <c r="E90" s="30">
        <v>1025</v>
      </c>
      <c r="F90" s="30" t="s">
        <v>571</v>
      </c>
      <c r="G90" s="30"/>
      <c r="H90" s="30">
        <v>3.2188759999999998</v>
      </c>
      <c r="I90" s="30">
        <v>3.555348</v>
      </c>
      <c r="J90" s="30">
        <v>0</v>
      </c>
      <c r="K90" s="30">
        <v>1</v>
      </c>
      <c r="L90" s="30">
        <v>0</v>
      </c>
      <c r="M90" s="30">
        <v>0</v>
      </c>
      <c r="N90" s="30">
        <v>1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30">
        <v>0</v>
      </c>
      <c r="AG90" s="30">
        <v>0</v>
      </c>
      <c r="AH90" s="30">
        <v>0</v>
      </c>
      <c r="AI90" s="30">
        <v>0</v>
      </c>
      <c r="AJ90" s="30">
        <v>0</v>
      </c>
      <c r="AK90" s="30">
        <v>0</v>
      </c>
      <c r="AL90" s="30">
        <v>0</v>
      </c>
      <c r="AM90" s="30">
        <v>0</v>
      </c>
      <c r="AN90" s="30">
        <v>0</v>
      </c>
      <c r="AO90" s="30">
        <v>0</v>
      </c>
      <c r="AP90" s="30">
        <v>0</v>
      </c>
      <c r="AQ90" s="30">
        <v>0</v>
      </c>
      <c r="AR90" s="30">
        <v>0</v>
      </c>
      <c r="AS90" s="30">
        <v>0</v>
      </c>
      <c r="AT90" s="30">
        <v>0</v>
      </c>
      <c r="AU90" s="30">
        <v>0</v>
      </c>
      <c r="AV90" s="30">
        <v>0</v>
      </c>
      <c r="AW90" s="30">
        <v>0</v>
      </c>
      <c r="AX90" s="30">
        <v>0</v>
      </c>
      <c r="AY90" s="30">
        <v>0</v>
      </c>
    </row>
    <row r="91" spans="1:51">
      <c r="A91" s="30" t="s">
        <v>571</v>
      </c>
      <c r="B91" s="30" t="s">
        <v>600</v>
      </c>
      <c r="C91" s="30">
        <v>30</v>
      </c>
      <c r="D91" s="30">
        <v>532</v>
      </c>
      <c r="E91" s="30">
        <v>15930</v>
      </c>
      <c r="F91" s="30" t="s">
        <v>571</v>
      </c>
      <c r="G91" s="30"/>
      <c r="H91" s="30">
        <v>3.4011969999999998</v>
      </c>
      <c r="I91" s="30">
        <v>6.276643</v>
      </c>
      <c r="J91" s="30">
        <v>0</v>
      </c>
      <c r="K91" s="30">
        <v>1</v>
      </c>
      <c r="L91" s="30">
        <v>0</v>
      </c>
      <c r="M91" s="30">
        <v>0</v>
      </c>
      <c r="N91" s="30">
        <v>1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30">
        <v>0</v>
      </c>
      <c r="AG91" s="30">
        <v>0</v>
      </c>
      <c r="AH91" s="30">
        <v>0</v>
      </c>
      <c r="AI91" s="30">
        <v>0</v>
      </c>
      <c r="AJ91" s="30">
        <v>0</v>
      </c>
      <c r="AK91" s="30">
        <v>0</v>
      </c>
      <c r="AL91" s="30">
        <v>0</v>
      </c>
      <c r="AM91" s="30">
        <v>0</v>
      </c>
      <c r="AN91" s="30">
        <v>0</v>
      </c>
      <c r="AO91" s="30">
        <v>0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0</v>
      </c>
      <c r="AV91" s="30">
        <v>0</v>
      </c>
      <c r="AW91" s="30">
        <v>0</v>
      </c>
      <c r="AX91" s="30">
        <v>0</v>
      </c>
      <c r="AY91" s="30">
        <v>0</v>
      </c>
    </row>
    <row r="92" spans="1:51">
      <c r="A92" s="30" t="s">
        <v>571</v>
      </c>
      <c r="B92" s="30" t="s">
        <v>601</v>
      </c>
      <c r="C92" s="30">
        <v>30</v>
      </c>
      <c r="D92" s="30">
        <v>169</v>
      </c>
      <c r="E92" s="30">
        <v>195</v>
      </c>
      <c r="F92" s="30" t="s">
        <v>571</v>
      </c>
      <c r="G92" s="30"/>
      <c r="H92" s="30">
        <v>3.4011969999999998</v>
      </c>
      <c r="I92" s="30">
        <v>5.129899</v>
      </c>
      <c r="J92" s="30">
        <v>0</v>
      </c>
      <c r="K92" s="30">
        <v>1</v>
      </c>
      <c r="L92" s="30">
        <v>0</v>
      </c>
      <c r="M92" s="30">
        <v>0</v>
      </c>
      <c r="N92" s="30">
        <v>1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</row>
    <row r="93" spans="1:51">
      <c r="A93" s="30" t="s">
        <v>571</v>
      </c>
      <c r="B93" s="30" t="s">
        <v>602</v>
      </c>
      <c r="C93" s="30">
        <v>30</v>
      </c>
      <c r="D93" s="30">
        <v>77</v>
      </c>
      <c r="E93" s="30">
        <v>960</v>
      </c>
      <c r="F93" s="30" t="s">
        <v>571</v>
      </c>
      <c r="G93" s="30"/>
      <c r="H93" s="30">
        <v>3.4011969999999998</v>
      </c>
      <c r="I93" s="30">
        <v>4.3438049999999997</v>
      </c>
      <c r="J93" s="30">
        <v>0</v>
      </c>
      <c r="K93" s="30">
        <v>1</v>
      </c>
      <c r="L93" s="30">
        <v>0</v>
      </c>
      <c r="M93" s="30">
        <v>0</v>
      </c>
      <c r="N93" s="30">
        <v>1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30">
        <v>0</v>
      </c>
      <c r="AG93" s="30">
        <v>0</v>
      </c>
      <c r="AH93" s="30">
        <v>0</v>
      </c>
      <c r="AI93" s="30">
        <v>0</v>
      </c>
      <c r="AJ93" s="30">
        <v>0</v>
      </c>
      <c r="AK93" s="30">
        <v>0</v>
      </c>
      <c r="AL93" s="30">
        <v>0</v>
      </c>
      <c r="AM93" s="30">
        <v>0</v>
      </c>
      <c r="AN93" s="30">
        <v>0</v>
      </c>
      <c r="AO93" s="30">
        <v>0</v>
      </c>
      <c r="AP93" s="30">
        <v>0</v>
      </c>
      <c r="AQ93" s="30">
        <v>0</v>
      </c>
      <c r="AR93" s="30">
        <v>0</v>
      </c>
      <c r="AS93" s="30">
        <v>0</v>
      </c>
      <c r="AT93" s="30">
        <v>0</v>
      </c>
      <c r="AU93" s="30">
        <v>0</v>
      </c>
      <c r="AV93" s="30">
        <v>0</v>
      </c>
      <c r="AW93" s="30">
        <v>0</v>
      </c>
      <c r="AX93" s="30">
        <v>0</v>
      </c>
      <c r="AY93" s="30">
        <v>0</v>
      </c>
    </row>
    <row r="94" spans="1:51">
      <c r="A94" s="30" t="s">
        <v>571</v>
      </c>
      <c r="B94" s="30" t="s">
        <v>603</v>
      </c>
      <c r="C94" s="30">
        <v>30</v>
      </c>
      <c r="D94" s="30">
        <v>727</v>
      </c>
      <c r="E94" s="30">
        <v>21750</v>
      </c>
      <c r="F94" s="30" t="s">
        <v>571</v>
      </c>
      <c r="G94" s="30"/>
      <c r="H94" s="30">
        <v>3.4011969999999998</v>
      </c>
      <c r="I94" s="30">
        <v>6.5889259999999998</v>
      </c>
      <c r="J94" s="30">
        <v>0</v>
      </c>
      <c r="K94" s="30">
        <v>1</v>
      </c>
      <c r="L94" s="30">
        <v>0</v>
      </c>
      <c r="M94" s="30">
        <v>0</v>
      </c>
      <c r="N94" s="30">
        <v>1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</row>
    <row r="95" spans="1:51">
      <c r="A95" s="30" t="s">
        <v>571</v>
      </c>
      <c r="B95" s="30" t="s">
        <v>604</v>
      </c>
      <c r="C95" s="30">
        <v>30</v>
      </c>
      <c r="D95" s="30">
        <v>146</v>
      </c>
      <c r="E95" s="30">
        <v>270</v>
      </c>
      <c r="F95" s="30" t="s">
        <v>571</v>
      </c>
      <c r="G95" s="30"/>
      <c r="H95" s="30">
        <v>3.4011969999999998</v>
      </c>
      <c r="I95" s="30">
        <v>4.9836070000000001</v>
      </c>
      <c r="J95" s="30">
        <v>0</v>
      </c>
      <c r="K95" s="30">
        <v>1</v>
      </c>
      <c r="L95" s="30">
        <v>0</v>
      </c>
      <c r="M95" s="30">
        <v>0</v>
      </c>
      <c r="N95" s="30">
        <v>1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</row>
    <row r="96" spans="1:51">
      <c r="A96" s="30" t="s">
        <v>571</v>
      </c>
      <c r="B96" s="30" t="s">
        <v>602</v>
      </c>
      <c r="C96" s="30">
        <v>30</v>
      </c>
      <c r="D96" s="30">
        <v>55</v>
      </c>
      <c r="E96" s="30">
        <v>180</v>
      </c>
      <c r="F96" s="30" t="s">
        <v>571</v>
      </c>
      <c r="G96" s="30"/>
      <c r="H96" s="30">
        <v>3.4011969999999998</v>
      </c>
      <c r="I96" s="30">
        <v>4.007333</v>
      </c>
      <c r="J96" s="30">
        <v>0</v>
      </c>
      <c r="K96" s="30">
        <v>1</v>
      </c>
      <c r="L96" s="30">
        <v>0</v>
      </c>
      <c r="M96" s="30">
        <v>0</v>
      </c>
      <c r="N96" s="30">
        <v>1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</row>
    <row r="97" spans="1:51">
      <c r="A97" s="30" t="s">
        <v>571</v>
      </c>
      <c r="B97" s="30" t="s">
        <v>605</v>
      </c>
      <c r="C97" s="30">
        <v>40</v>
      </c>
      <c r="D97" s="30">
        <v>671</v>
      </c>
      <c r="E97" s="30">
        <v>26840</v>
      </c>
      <c r="F97" s="30" t="s">
        <v>571</v>
      </c>
      <c r="G97" s="30"/>
      <c r="H97" s="30">
        <v>3.688879</v>
      </c>
      <c r="I97" s="30">
        <v>6.508769</v>
      </c>
      <c r="J97" s="30">
        <v>0</v>
      </c>
      <c r="K97" s="30">
        <v>1</v>
      </c>
      <c r="L97" s="30">
        <v>0</v>
      </c>
      <c r="M97" s="30">
        <v>0</v>
      </c>
      <c r="N97" s="30">
        <v>1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</row>
    <row r="98" spans="1:51">
      <c r="A98" s="30" t="s">
        <v>571</v>
      </c>
      <c r="B98" s="30" t="s">
        <v>606</v>
      </c>
      <c r="C98" s="30">
        <v>40</v>
      </c>
      <c r="D98" s="30">
        <v>188</v>
      </c>
      <c r="E98" s="30">
        <v>7460</v>
      </c>
      <c r="F98" s="30" t="s">
        <v>571</v>
      </c>
      <c r="G98" s="30"/>
      <c r="H98" s="30">
        <v>3.688879</v>
      </c>
      <c r="I98" s="30">
        <v>5.2364420000000003</v>
      </c>
      <c r="J98" s="30">
        <v>0</v>
      </c>
      <c r="K98" s="30">
        <v>1</v>
      </c>
      <c r="L98" s="30">
        <v>0</v>
      </c>
      <c r="M98" s="30">
        <v>0</v>
      </c>
      <c r="N98" s="30">
        <v>1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</row>
    <row r="99" spans="1:51">
      <c r="A99" s="30" t="s">
        <v>571</v>
      </c>
      <c r="B99" s="30" t="s">
        <v>607</v>
      </c>
      <c r="C99" s="30">
        <v>40</v>
      </c>
      <c r="D99" s="30">
        <v>265</v>
      </c>
      <c r="E99" s="30">
        <v>13250</v>
      </c>
      <c r="F99" s="30" t="s">
        <v>571</v>
      </c>
      <c r="G99" s="30"/>
      <c r="H99" s="30">
        <v>3.688879</v>
      </c>
      <c r="I99" s="30">
        <v>5.5797299999999996</v>
      </c>
      <c r="J99" s="30">
        <v>0</v>
      </c>
      <c r="K99" s="30">
        <v>1</v>
      </c>
      <c r="L99" s="30">
        <v>0</v>
      </c>
      <c r="M99" s="30">
        <v>0</v>
      </c>
      <c r="N99" s="30">
        <v>1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30">
        <v>0</v>
      </c>
      <c r="AF99" s="30">
        <v>0</v>
      </c>
      <c r="AG99" s="30">
        <v>0</v>
      </c>
      <c r="AH99" s="30">
        <v>0</v>
      </c>
      <c r="AI99" s="30">
        <v>0</v>
      </c>
      <c r="AJ99" s="30">
        <v>0</v>
      </c>
      <c r="AK99" s="30">
        <v>0</v>
      </c>
      <c r="AL99" s="30">
        <v>0</v>
      </c>
      <c r="AM99" s="30">
        <v>0</v>
      </c>
      <c r="AN99" s="30">
        <v>0</v>
      </c>
      <c r="AO99" s="30">
        <v>0</v>
      </c>
      <c r="AP99" s="30">
        <v>0</v>
      </c>
      <c r="AQ99" s="30">
        <v>0</v>
      </c>
      <c r="AR99" s="30">
        <v>0</v>
      </c>
      <c r="AS99" s="30">
        <v>0</v>
      </c>
      <c r="AT99" s="30">
        <v>0</v>
      </c>
      <c r="AU99" s="30">
        <v>0</v>
      </c>
      <c r="AV99" s="30">
        <v>0</v>
      </c>
      <c r="AW99" s="30">
        <v>0</v>
      </c>
      <c r="AX99" s="30">
        <v>0</v>
      </c>
      <c r="AY99" s="30">
        <v>0</v>
      </c>
    </row>
    <row r="100" spans="1:51">
      <c r="A100" s="30" t="s">
        <v>571</v>
      </c>
      <c r="B100" s="30" t="s">
        <v>608</v>
      </c>
      <c r="C100" s="30">
        <v>40</v>
      </c>
      <c r="D100" s="30">
        <v>1534</v>
      </c>
      <c r="E100" s="30">
        <v>11200</v>
      </c>
      <c r="F100" s="30" t="s">
        <v>571</v>
      </c>
      <c r="G100" s="30"/>
      <c r="H100" s="30">
        <v>3.688879</v>
      </c>
      <c r="I100" s="30">
        <v>7.3356339999999998</v>
      </c>
      <c r="J100" s="30">
        <v>0</v>
      </c>
      <c r="K100" s="30">
        <v>1</v>
      </c>
      <c r="L100" s="30">
        <v>0</v>
      </c>
      <c r="M100" s="30">
        <v>0</v>
      </c>
      <c r="N100" s="30">
        <v>1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30">
        <v>0</v>
      </c>
      <c r="AG100" s="30">
        <v>0</v>
      </c>
      <c r="AH100" s="30">
        <v>0</v>
      </c>
      <c r="AI100" s="30">
        <v>0</v>
      </c>
      <c r="AJ100" s="30">
        <v>0</v>
      </c>
      <c r="AK100" s="30">
        <v>0</v>
      </c>
      <c r="AL100" s="30">
        <v>0</v>
      </c>
      <c r="AM100" s="30">
        <v>0</v>
      </c>
      <c r="AN100" s="30">
        <v>0</v>
      </c>
      <c r="AO100" s="30">
        <v>0</v>
      </c>
      <c r="AP100" s="30">
        <v>0</v>
      </c>
      <c r="AQ100" s="30">
        <v>0</v>
      </c>
      <c r="AR100" s="30">
        <v>0</v>
      </c>
      <c r="AS100" s="30">
        <v>0</v>
      </c>
      <c r="AT100" s="30">
        <v>0</v>
      </c>
      <c r="AU100" s="30">
        <v>0</v>
      </c>
      <c r="AV100" s="30">
        <v>0</v>
      </c>
      <c r="AW100" s="30">
        <v>0</v>
      </c>
      <c r="AX100" s="30">
        <v>0</v>
      </c>
      <c r="AY100" s="30">
        <v>0</v>
      </c>
    </row>
    <row r="101" spans="1:51">
      <c r="A101" s="30" t="s">
        <v>571</v>
      </c>
      <c r="B101" s="30" t="s">
        <v>609</v>
      </c>
      <c r="C101" s="30">
        <v>40</v>
      </c>
      <c r="D101" s="30">
        <v>175</v>
      </c>
      <c r="E101" s="30">
        <v>6976</v>
      </c>
      <c r="F101" s="30" t="s">
        <v>571</v>
      </c>
      <c r="G101" s="30"/>
      <c r="H101" s="30">
        <v>3.688879</v>
      </c>
      <c r="I101" s="30">
        <v>5.1647860000000003</v>
      </c>
      <c r="J101" s="30">
        <v>0</v>
      </c>
      <c r="K101" s="30">
        <v>1</v>
      </c>
      <c r="L101" s="30">
        <v>0</v>
      </c>
      <c r="M101" s="30">
        <v>0</v>
      </c>
      <c r="N101" s="30">
        <v>1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30">
        <v>0</v>
      </c>
      <c r="AG101" s="30">
        <v>0</v>
      </c>
      <c r="AH101" s="30">
        <v>0</v>
      </c>
      <c r="AI101" s="30">
        <v>0</v>
      </c>
      <c r="AJ101" s="30">
        <v>0</v>
      </c>
      <c r="AK101" s="30">
        <v>0</v>
      </c>
      <c r="AL101" s="30">
        <v>0</v>
      </c>
      <c r="AM101" s="30">
        <v>0</v>
      </c>
      <c r="AN101" s="30">
        <v>0</v>
      </c>
      <c r="AO101" s="30">
        <v>0</v>
      </c>
      <c r="AP101" s="30">
        <v>0</v>
      </c>
      <c r="AQ101" s="30">
        <v>0</v>
      </c>
      <c r="AR101" s="30">
        <v>0</v>
      </c>
      <c r="AS101" s="30">
        <v>0</v>
      </c>
      <c r="AT101" s="30">
        <v>0</v>
      </c>
      <c r="AU101" s="30">
        <v>0</v>
      </c>
      <c r="AV101" s="30">
        <v>0</v>
      </c>
      <c r="AW101" s="30">
        <v>0</v>
      </c>
      <c r="AX101" s="30">
        <v>0</v>
      </c>
      <c r="AY101" s="30">
        <v>0</v>
      </c>
    </row>
    <row r="102" spans="1:51">
      <c r="A102" s="30" t="s">
        <v>571</v>
      </c>
      <c r="B102" s="30" t="s">
        <v>610</v>
      </c>
      <c r="C102" s="30">
        <v>45</v>
      </c>
      <c r="D102" s="30">
        <v>61</v>
      </c>
      <c r="E102" s="30">
        <v>2728</v>
      </c>
      <c r="F102" s="30" t="s">
        <v>571</v>
      </c>
      <c r="G102" s="30"/>
      <c r="H102" s="30">
        <v>3.8066620000000002</v>
      </c>
      <c r="I102" s="30">
        <v>4.1108739999999999</v>
      </c>
      <c r="J102" s="30">
        <v>0</v>
      </c>
      <c r="K102" s="30">
        <v>1</v>
      </c>
      <c r="L102" s="30">
        <v>0</v>
      </c>
      <c r="M102" s="30">
        <v>0</v>
      </c>
      <c r="N102" s="30">
        <v>1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  <c r="AM102" s="30">
        <v>0</v>
      </c>
      <c r="AN102" s="30">
        <v>0</v>
      </c>
      <c r="AO102" s="30">
        <v>0</v>
      </c>
      <c r="AP102" s="30">
        <v>0</v>
      </c>
      <c r="AQ102" s="30">
        <v>0</v>
      </c>
      <c r="AR102" s="30">
        <v>0</v>
      </c>
      <c r="AS102" s="30">
        <v>0</v>
      </c>
      <c r="AT102" s="30">
        <v>0</v>
      </c>
      <c r="AU102" s="30">
        <v>0</v>
      </c>
      <c r="AV102" s="30">
        <v>0</v>
      </c>
      <c r="AW102" s="30">
        <v>0</v>
      </c>
      <c r="AX102" s="30">
        <v>0</v>
      </c>
      <c r="AY102" s="30">
        <v>0</v>
      </c>
    </row>
    <row r="103" spans="1:51">
      <c r="A103" s="30" t="s">
        <v>571</v>
      </c>
      <c r="B103" s="30" t="s">
        <v>610</v>
      </c>
      <c r="C103" s="30">
        <v>45</v>
      </c>
      <c r="D103" s="30">
        <v>25</v>
      </c>
      <c r="E103" s="30">
        <v>1170</v>
      </c>
      <c r="F103" s="30" t="s">
        <v>571</v>
      </c>
      <c r="G103" s="30"/>
      <c r="H103" s="30">
        <v>3.8066620000000002</v>
      </c>
      <c r="I103" s="30">
        <v>3.2188759999999998</v>
      </c>
      <c r="J103" s="30">
        <v>0</v>
      </c>
      <c r="K103" s="30">
        <v>1</v>
      </c>
      <c r="L103" s="30">
        <v>0</v>
      </c>
      <c r="M103" s="30">
        <v>0</v>
      </c>
      <c r="N103" s="30">
        <v>1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  <c r="AM103" s="30">
        <v>0</v>
      </c>
      <c r="AN103" s="30">
        <v>0</v>
      </c>
      <c r="AO103" s="30">
        <v>0</v>
      </c>
      <c r="AP103" s="30">
        <v>0</v>
      </c>
      <c r="AQ103" s="30">
        <v>0</v>
      </c>
      <c r="AR103" s="30">
        <v>0</v>
      </c>
      <c r="AS103" s="30">
        <v>0</v>
      </c>
      <c r="AT103" s="30">
        <v>0</v>
      </c>
      <c r="AU103" s="30">
        <v>0</v>
      </c>
      <c r="AV103" s="30">
        <v>0</v>
      </c>
      <c r="AW103" s="30">
        <v>0</v>
      </c>
      <c r="AX103" s="30">
        <v>0</v>
      </c>
      <c r="AY103" s="30">
        <v>0</v>
      </c>
    </row>
    <row r="104" spans="1:51">
      <c r="A104" s="30" t="s">
        <v>571</v>
      </c>
      <c r="B104" s="30" t="s">
        <v>611</v>
      </c>
      <c r="C104" s="30">
        <v>50</v>
      </c>
      <c r="D104" s="30">
        <v>216</v>
      </c>
      <c r="E104" s="30">
        <v>10750</v>
      </c>
      <c r="F104" s="30" t="s">
        <v>571</v>
      </c>
      <c r="G104" s="30"/>
      <c r="H104" s="30">
        <v>3.912023</v>
      </c>
      <c r="I104" s="30">
        <v>5.3752779999999998</v>
      </c>
      <c r="J104" s="30">
        <v>0</v>
      </c>
      <c r="K104" s="30">
        <v>1</v>
      </c>
      <c r="L104" s="30">
        <v>0</v>
      </c>
      <c r="M104" s="30">
        <v>0</v>
      </c>
      <c r="N104" s="30">
        <v>1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</row>
    <row r="105" spans="1:51">
      <c r="A105" s="30" t="s">
        <v>571</v>
      </c>
      <c r="B105" s="30" t="s">
        <v>612</v>
      </c>
      <c r="C105" s="30">
        <v>50</v>
      </c>
      <c r="D105" s="30">
        <v>2756</v>
      </c>
      <c r="E105" s="30">
        <v>26675</v>
      </c>
      <c r="F105" s="30" t="s">
        <v>571</v>
      </c>
      <c r="G105" s="30"/>
      <c r="H105" s="30">
        <v>3.912023</v>
      </c>
      <c r="I105" s="30">
        <v>7.9215359999999997</v>
      </c>
      <c r="J105" s="30">
        <v>0</v>
      </c>
      <c r="K105" s="30">
        <v>1</v>
      </c>
      <c r="L105" s="30">
        <v>0</v>
      </c>
      <c r="M105" s="30">
        <v>0</v>
      </c>
      <c r="N105" s="30">
        <v>1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0</v>
      </c>
      <c r="AU105" s="30">
        <v>0</v>
      </c>
      <c r="AV105" s="30">
        <v>0</v>
      </c>
      <c r="AW105" s="30">
        <v>0</v>
      </c>
      <c r="AX105" s="30">
        <v>0</v>
      </c>
      <c r="AY105" s="30">
        <v>0</v>
      </c>
    </row>
    <row r="106" spans="1:51">
      <c r="A106" s="30" t="s">
        <v>571</v>
      </c>
      <c r="B106" s="30" t="s">
        <v>613</v>
      </c>
      <c r="C106" s="30">
        <v>50</v>
      </c>
      <c r="D106" s="30">
        <v>726</v>
      </c>
      <c r="E106" s="30">
        <v>29000</v>
      </c>
      <c r="F106" s="30" t="s">
        <v>571</v>
      </c>
      <c r="G106" s="30"/>
      <c r="H106" s="30">
        <v>3.912023</v>
      </c>
      <c r="I106" s="30">
        <v>6.5875500000000002</v>
      </c>
      <c r="J106" s="30">
        <v>0</v>
      </c>
      <c r="K106" s="30">
        <v>1</v>
      </c>
      <c r="L106" s="30">
        <v>0</v>
      </c>
      <c r="M106" s="30">
        <v>0</v>
      </c>
      <c r="N106" s="30">
        <v>1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</row>
    <row r="107" spans="1:51">
      <c r="A107" s="30" t="s">
        <v>571</v>
      </c>
      <c r="B107" s="30" t="s">
        <v>614</v>
      </c>
      <c r="C107" s="30">
        <v>50</v>
      </c>
      <c r="D107" s="30">
        <v>2712</v>
      </c>
      <c r="E107" s="30">
        <v>25375</v>
      </c>
      <c r="F107" s="30" t="s">
        <v>571</v>
      </c>
      <c r="G107" s="30"/>
      <c r="H107" s="30">
        <v>3.912023</v>
      </c>
      <c r="I107" s="30">
        <v>7.9054419999999999</v>
      </c>
      <c r="J107" s="30">
        <v>0</v>
      </c>
      <c r="K107" s="30">
        <v>1</v>
      </c>
      <c r="L107" s="30">
        <v>0</v>
      </c>
      <c r="M107" s="30">
        <v>0</v>
      </c>
      <c r="N107" s="30">
        <v>1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</row>
    <row r="108" spans="1:51">
      <c r="A108" s="30" t="s">
        <v>571</v>
      </c>
      <c r="B108" s="30" t="s">
        <v>615</v>
      </c>
      <c r="C108" s="30">
        <v>60</v>
      </c>
      <c r="D108" s="30">
        <v>1369</v>
      </c>
      <c r="E108" s="30">
        <v>15150</v>
      </c>
      <c r="F108" s="30" t="s">
        <v>571</v>
      </c>
      <c r="G108" s="30"/>
      <c r="H108" s="30">
        <v>4.0943449999999997</v>
      </c>
      <c r="I108" s="30">
        <v>7.2218359999999997</v>
      </c>
      <c r="J108" s="30">
        <v>0</v>
      </c>
      <c r="K108" s="30">
        <v>1</v>
      </c>
      <c r="L108" s="30">
        <v>0</v>
      </c>
      <c r="M108" s="30">
        <v>0</v>
      </c>
      <c r="N108" s="30">
        <v>1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  <c r="AM108" s="30">
        <v>0</v>
      </c>
      <c r="AN108" s="30">
        <v>0</v>
      </c>
      <c r="AO108" s="30">
        <v>0</v>
      </c>
      <c r="AP108" s="30">
        <v>0</v>
      </c>
      <c r="AQ108" s="30">
        <v>0</v>
      </c>
      <c r="AR108" s="30">
        <v>0</v>
      </c>
      <c r="AS108" s="30">
        <v>0</v>
      </c>
      <c r="AT108" s="30">
        <v>0</v>
      </c>
      <c r="AU108" s="30">
        <v>0</v>
      </c>
      <c r="AV108" s="30">
        <v>0</v>
      </c>
      <c r="AW108" s="30">
        <v>0</v>
      </c>
      <c r="AX108" s="30">
        <v>0</v>
      </c>
      <c r="AY108" s="30">
        <v>0</v>
      </c>
    </row>
    <row r="109" spans="1:51">
      <c r="A109" s="30" t="s">
        <v>571</v>
      </c>
      <c r="B109" s="30" t="s">
        <v>616</v>
      </c>
      <c r="C109" s="30">
        <v>60</v>
      </c>
      <c r="D109" s="30">
        <v>1229</v>
      </c>
      <c r="E109" s="30">
        <v>15330</v>
      </c>
      <c r="F109" s="30" t="s">
        <v>571</v>
      </c>
      <c r="G109" s="30"/>
      <c r="H109" s="30">
        <v>4.0943449999999997</v>
      </c>
      <c r="I109" s="30">
        <v>7.1139559999999999</v>
      </c>
      <c r="J109" s="30">
        <v>0</v>
      </c>
      <c r="K109" s="30">
        <v>1</v>
      </c>
      <c r="L109" s="30">
        <v>0</v>
      </c>
      <c r="M109" s="30">
        <v>0</v>
      </c>
      <c r="N109" s="30">
        <v>1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30">
        <v>0</v>
      </c>
      <c r="AG109" s="30">
        <v>0</v>
      </c>
      <c r="AH109" s="30">
        <v>0</v>
      </c>
      <c r="AI109" s="30">
        <v>0</v>
      </c>
      <c r="AJ109" s="30">
        <v>0</v>
      </c>
      <c r="AK109" s="30">
        <v>0</v>
      </c>
      <c r="AL109" s="30">
        <v>0</v>
      </c>
      <c r="AM109" s="30">
        <v>0</v>
      </c>
      <c r="AN109" s="30">
        <v>0</v>
      </c>
      <c r="AO109" s="30">
        <v>0</v>
      </c>
      <c r="AP109" s="30">
        <v>0</v>
      </c>
      <c r="AQ109" s="30">
        <v>0</v>
      </c>
      <c r="AR109" s="30">
        <v>0</v>
      </c>
      <c r="AS109" s="30">
        <v>0</v>
      </c>
      <c r="AT109" s="30">
        <v>0</v>
      </c>
      <c r="AU109" s="30">
        <v>0</v>
      </c>
      <c r="AV109" s="30">
        <v>0</v>
      </c>
      <c r="AW109" s="30">
        <v>0</v>
      </c>
      <c r="AX109" s="30">
        <v>0</v>
      </c>
      <c r="AY109" s="30">
        <v>0</v>
      </c>
    </row>
    <row r="110" spans="1:51">
      <c r="A110" s="30" t="s">
        <v>571</v>
      </c>
      <c r="B110" s="30" t="s">
        <v>617</v>
      </c>
      <c r="C110" s="30">
        <v>70</v>
      </c>
      <c r="D110" s="30">
        <v>27</v>
      </c>
      <c r="E110" s="30">
        <v>700</v>
      </c>
      <c r="F110" s="30" t="s">
        <v>571</v>
      </c>
      <c r="G110" s="30"/>
      <c r="H110" s="30">
        <v>4.2484950000000001</v>
      </c>
      <c r="I110" s="30">
        <v>3.2958370000000001</v>
      </c>
      <c r="J110" s="30">
        <v>0</v>
      </c>
      <c r="K110" s="30">
        <v>1</v>
      </c>
      <c r="L110" s="30">
        <v>0</v>
      </c>
      <c r="M110" s="30">
        <v>0</v>
      </c>
      <c r="N110" s="30">
        <v>1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30">
        <v>0</v>
      </c>
      <c r="AG110" s="30">
        <v>0</v>
      </c>
      <c r="AH110" s="30">
        <v>0</v>
      </c>
      <c r="AI110" s="30">
        <v>0</v>
      </c>
      <c r="AJ110" s="30">
        <v>0</v>
      </c>
      <c r="AK110" s="30">
        <v>0</v>
      </c>
      <c r="AL110" s="30">
        <v>0</v>
      </c>
      <c r="AM110" s="30">
        <v>0</v>
      </c>
      <c r="AN110" s="30">
        <v>0</v>
      </c>
      <c r="AO110" s="30">
        <v>0</v>
      </c>
      <c r="AP110" s="30">
        <v>0</v>
      </c>
      <c r="AQ110" s="30">
        <v>0</v>
      </c>
      <c r="AR110" s="30">
        <v>0</v>
      </c>
      <c r="AS110" s="30">
        <v>0</v>
      </c>
      <c r="AT110" s="30">
        <v>0</v>
      </c>
      <c r="AU110" s="30">
        <v>0</v>
      </c>
      <c r="AV110" s="30">
        <v>0</v>
      </c>
      <c r="AW110" s="30">
        <v>0</v>
      </c>
      <c r="AX110" s="30">
        <v>0</v>
      </c>
      <c r="AY110" s="30">
        <v>0</v>
      </c>
    </row>
    <row r="111" spans="1:51">
      <c r="A111" s="30" t="s">
        <v>571</v>
      </c>
      <c r="B111" s="30" t="s">
        <v>618</v>
      </c>
      <c r="C111" s="30">
        <v>70</v>
      </c>
      <c r="D111" s="30">
        <v>1</v>
      </c>
      <c r="E111" s="30">
        <v>70</v>
      </c>
      <c r="F111" s="30" t="s">
        <v>571</v>
      </c>
      <c r="G111" s="30"/>
      <c r="H111" s="30">
        <v>4.2484950000000001</v>
      </c>
      <c r="I111" s="30">
        <v>0</v>
      </c>
      <c r="J111" s="30">
        <v>0</v>
      </c>
      <c r="K111" s="30">
        <v>1</v>
      </c>
      <c r="L111" s="30">
        <v>0</v>
      </c>
      <c r="M111" s="30">
        <v>0</v>
      </c>
      <c r="N111" s="30">
        <v>1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30">
        <v>0</v>
      </c>
      <c r="AG111" s="30">
        <v>0</v>
      </c>
      <c r="AH111" s="30">
        <v>0</v>
      </c>
      <c r="AI111" s="30">
        <v>0</v>
      </c>
      <c r="AJ111" s="30">
        <v>0</v>
      </c>
      <c r="AK111" s="30">
        <v>0</v>
      </c>
      <c r="AL111" s="30">
        <v>0</v>
      </c>
      <c r="AM111" s="30">
        <v>0</v>
      </c>
      <c r="AN111" s="30">
        <v>0</v>
      </c>
      <c r="AO111" s="30">
        <v>0</v>
      </c>
      <c r="AP111" s="30">
        <v>0</v>
      </c>
      <c r="AQ111" s="30">
        <v>0</v>
      </c>
      <c r="AR111" s="30">
        <v>0</v>
      </c>
      <c r="AS111" s="30">
        <v>0</v>
      </c>
      <c r="AT111" s="30">
        <v>0</v>
      </c>
      <c r="AU111" s="30">
        <v>0</v>
      </c>
      <c r="AV111" s="30">
        <v>0</v>
      </c>
      <c r="AW111" s="30">
        <v>0</v>
      </c>
      <c r="AX111" s="30">
        <v>0</v>
      </c>
      <c r="AY111" s="30">
        <v>0</v>
      </c>
    </row>
    <row r="112" spans="1:51">
      <c r="A112" s="30" t="s">
        <v>571</v>
      </c>
      <c r="B112" s="30" t="s">
        <v>617</v>
      </c>
      <c r="C112" s="30">
        <v>70</v>
      </c>
      <c r="D112" s="30">
        <v>15</v>
      </c>
      <c r="E112" s="30">
        <v>140</v>
      </c>
      <c r="F112" s="30" t="s">
        <v>571</v>
      </c>
      <c r="G112" s="30"/>
      <c r="H112" s="30">
        <v>4.2484950000000001</v>
      </c>
      <c r="I112" s="30">
        <v>2.7080500000000001</v>
      </c>
      <c r="J112" s="30">
        <v>0</v>
      </c>
      <c r="K112" s="30">
        <v>1</v>
      </c>
      <c r="L112" s="30">
        <v>0</v>
      </c>
      <c r="M112" s="30">
        <v>0</v>
      </c>
      <c r="N112" s="30">
        <v>1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30">
        <v>0</v>
      </c>
      <c r="AG112" s="30">
        <v>0</v>
      </c>
      <c r="AH112" s="30">
        <v>0</v>
      </c>
      <c r="AI112" s="30">
        <v>0</v>
      </c>
      <c r="AJ112" s="30">
        <v>0</v>
      </c>
      <c r="AK112" s="30">
        <v>0</v>
      </c>
      <c r="AL112" s="30">
        <v>0</v>
      </c>
      <c r="AM112" s="30">
        <v>0</v>
      </c>
      <c r="AN112" s="30">
        <v>0</v>
      </c>
      <c r="AO112" s="30">
        <v>0</v>
      </c>
      <c r="AP112" s="30">
        <v>0</v>
      </c>
      <c r="AQ112" s="30">
        <v>0</v>
      </c>
      <c r="AR112" s="30">
        <v>0</v>
      </c>
      <c r="AS112" s="30">
        <v>0</v>
      </c>
      <c r="AT112" s="30">
        <v>0</v>
      </c>
      <c r="AU112" s="30">
        <v>0</v>
      </c>
      <c r="AV112" s="30">
        <v>0</v>
      </c>
      <c r="AW112" s="30">
        <v>0</v>
      </c>
      <c r="AX112" s="30">
        <v>0</v>
      </c>
      <c r="AY112" s="30">
        <v>0</v>
      </c>
    </row>
    <row r="113" spans="1:51">
      <c r="A113" s="30" t="s">
        <v>619</v>
      </c>
      <c r="B113" s="30" t="s">
        <v>620</v>
      </c>
      <c r="C113" s="30">
        <v>1</v>
      </c>
      <c r="D113" s="30">
        <v>1</v>
      </c>
      <c r="E113" s="30">
        <v>1</v>
      </c>
      <c r="F113" s="30" t="s">
        <v>621</v>
      </c>
      <c r="G113" s="30" t="s">
        <v>622</v>
      </c>
      <c r="H113" s="30">
        <v>0</v>
      </c>
      <c r="I113" s="30">
        <v>0</v>
      </c>
      <c r="J113" s="30">
        <v>1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1</v>
      </c>
      <c r="AC113" s="30">
        <v>0</v>
      </c>
      <c r="AD113" s="30">
        <v>0</v>
      </c>
      <c r="AE113" s="30">
        <v>0</v>
      </c>
      <c r="AF113" s="30">
        <v>0</v>
      </c>
      <c r="AG113" s="30">
        <v>0</v>
      </c>
      <c r="AH113" s="30">
        <v>0</v>
      </c>
      <c r="AI113" s="30">
        <v>0</v>
      </c>
      <c r="AJ113" s="30">
        <v>0</v>
      </c>
      <c r="AK113" s="30">
        <v>0</v>
      </c>
      <c r="AL113" s="30">
        <v>0</v>
      </c>
      <c r="AM113" s="30">
        <v>0</v>
      </c>
      <c r="AN113" s="30">
        <v>0</v>
      </c>
      <c r="AO113" s="30">
        <v>0</v>
      </c>
      <c r="AP113" s="30">
        <v>0</v>
      </c>
      <c r="AQ113" s="30">
        <v>0</v>
      </c>
      <c r="AR113" s="30">
        <v>0</v>
      </c>
      <c r="AS113" s="30">
        <v>0</v>
      </c>
      <c r="AT113" s="30">
        <v>0</v>
      </c>
      <c r="AU113" s="30">
        <v>0</v>
      </c>
      <c r="AV113" s="30">
        <v>0</v>
      </c>
      <c r="AW113" s="30">
        <v>0</v>
      </c>
      <c r="AX113" s="30">
        <v>0</v>
      </c>
      <c r="AY113" s="30">
        <v>0</v>
      </c>
    </row>
    <row r="114" spans="1:51">
      <c r="A114" s="30" t="s">
        <v>619</v>
      </c>
      <c r="B114" s="30" t="s">
        <v>623</v>
      </c>
      <c r="C114" s="30">
        <v>1</v>
      </c>
      <c r="D114" s="30">
        <v>67</v>
      </c>
      <c r="E114" s="30">
        <v>67</v>
      </c>
      <c r="F114" s="30" t="s">
        <v>621</v>
      </c>
      <c r="G114" s="30" t="s">
        <v>624</v>
      </c>
      <c r="H114" s="30">
        <v>0</v>
      </c>
      <c r="I114" s="30">
        <v>4.2046929999999998</v>
      </c>
      <c r="J114" s="30">
        <v>1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30">
        <v>0</v>
      </c>
      <c r="AG114" s="30">
        <v>0</v>
      </c>
      <c r="AH114" s="30">
        <v>0</v>
      </c>
      <c r="AI114" s="30">
        <v>0</v>
      </c>
      <c r="AJ114" s="30">
        <v>0</v>
      </c>
      <c r="AK114" s="30">
        <v>0</v>
      </c>
      <c r="AL114" s="30">
        <v>1</v>
      </c>
      <c r="AM114" s="30">
        <v>0</v>
      </c>
      <c r="AN114" s="30">
        <v>0</v>
      </c>
      <c r="AO114" s="30">
        <v>0</v>
      </c>
      <c r="AP114" s="30">
        <v>0</v>
      </c>
      <c r="AQ114" s="30">
        <v>0</v>
      </c>
      <c r="AR114" s="30">
        <v>0</v>
      </c>
      <c r="AS114" s="30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</row>
    <row r="115" spans="1:51">
      <c r="A115" s="30" t="s">
        <v>619</v>
      </c>
      <c r="B115" s="30" t="s">
        <v>625</v>
      </c>
      <c r="C115" s="30">
        <v>0.25</v>
      </c>
      <c r="D115" s="30">
        <v>165</v>
      </c>
      <c r="E115" s="30">
        <v>41.15</v>
      </c>
      <c r="F115" s="30" t="s">
        <v>626</v>
      </c>
      <c r="G115" s="30" t="s">
        <v>627</v>
      </c>
      <c r="H115" s="30">
        <v>-1.38629</v>
      </c>
      <c r="I115" s="30">
        <v>5.1059450000000002</v>
      </c>
      <c r="J115" s="30">
        <v>1</v>
      </c>
      <c r="K115" s="30">
        <v>0</v>
      </c>
      <c r="L115" s="30">
        <v>0</v>
      </c>
      <c r="M115" s="30">
        <v>1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30">
        <v>0</v>
      </c>
      <c r="AG115" s="30">
        <v>0</v>
      </c>
      <c r="AH115" s="30">
        <v>0</v>
      </c>
      <c r="AI115" s="30">
        <v>0</v>
      </c>
      <c r="AJ115" s="30">
        <v>1</v>
      </c>
      <c r="AK115" s="30">
        <v>0</v>
      </c>
      <c r="AL115" s="30">
        <v>0</v>
      </c>
      <c r="AM115" s="30">
        <v>0</v>
      </c>
      <c r="AN115" s="30">
        <v>0</v>
      </c>
      <c r="AO115" s="30">
        <v>0</v>
      </c>
      <c r="AP115" s="30">
        <v>0</v>
      </c>
      <c r="AQ115" s="30">
        <v>0</v>
      </c>
      <c r="AR115" s="30">
        <v>0</v>
      </c>
      <c r="AS115" s="30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</row>
    <row r="116" spans="1:51">
      <c r="A116" s="30" t="s">
        <v>619</v>
      </c>
      <c r="B116" s="30" t="s">
        <v>628</v>
      </c>
      <c r="C116" s="30">
        <v>0.5</v>
      </c>
      <c r="D116" s="30">
        <v>104</v>
      </c>
      <c r="E116" s="30">
        <v>50</v>
      </c>
      <c r="F116" s="30" t="s">
        <v>626</v>
      </c>
      <c r="G116" s="30" t="s">
        <v>627</v>
      </c>
      <c r="H116" s="30">
        <v>-0.69315000000000004</v>
      </c>
      <c r="I116" s="30">
        <v>4.6443909999999997</v>
      </c>
      <c r="J116" s="30">
        <v>1</v>
      </c>
      <c r="K116" s="30">
        <v>0</v>
      </c>
      <c r="L116" s="30">
        <v>0</v>
      </c>
      <c r="M116" s="30">
        <v>1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0</v>
      </c>
      <c r="AJ116" s="30">
        <v>1</v>
      </c>
      <c r="AK116" s="30">
        <v>0</v>
      </c>
      <c r="AL116" s="30">
        <v>0</v>
      </c>
      <c r="AM116" s="30">
        <v>0</v>
      </c>
      <c r="AN116" s="30">
        <v>0</v>
      </c>
      <c r="AO116" s="30">
        <v>0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0</v>
      </c>
      <c r="AY116" s="30">
        <v>0</v>
      </c>
    </row>
    <row r="117" spans="1:51">
      <c r="A117" s="30" t="s">
        <v>619</v>
      </c>
      <c r="B117" s="30" t="s">
        <v>629</v>
      </c>
      <c r="C117" s="30">
        <v>0.5</v>
      </c>
      <c r="D117" s="30">
        <v>68</v>
      </c>
      <c r="E117" s="30">
        <v>34</v>
      </c>
      <c r="F117" s="30" t="s">
        <v>626</v>
      </c>
      <c r="G117" s="30" t="s">
        <v>627</v>
      </c>
      <c r="H117" s="30">
        <v>-0.69315000000000004</v>
      </c>
      <c r="I117" s="30">
        <v>4.2195080000000003</v>
      </c>
      <c r="J117" s="30">
        <v>1</v>
      </c>
      <c r="K117" s="30">
        <v>0</v>
      </c>
      <c r="L117" s="30">
        <v>0</v>
      </c>
      <c r="M117" s="30">
        <v>1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30">
        <v>0</v>
      </c>
      <c r="AF117" s="30">
        <v>0</v>
      </c>
      <c r="AG117" s="30">
        <v>0</v>
      </c>
      <c r="AH117" s="30">
        <v>0</v>
      </c>
      <c r="AI117" s="30">
        <v>0</v>
      </c>
      <c r="AJ117" s="30">
        <v>1</v>
      </c>
      <c r="AK117" s="30">
        <v>0</v>
      </c>
      <c r="AL117" s="30">
        <v>0</v>
      </c>
      <c r="AM117" s="30">
        <v>0</v>
      </c>
      <c r="AN117" s="30">
        <v>0</v>
      </c>
      <c r="AO117" s="30">
        <v>0</v>
      </c>
      <c r="AP117" s="30">
        <v>0</v>
      </c>
      <c r="AQ117" s="30">
        <v>0</v>
      </c>
      <c r="AR117" s="30">
        <v>0</v>
      </c>
      <c r="AS117" s="30">
        <v>0</v>
      </c>
      <c r="AT117" s="30">
        <v>0</v>
      </c>
      <c r="AU117" s="30">
        <v>0</v>
      </c>
      <c r="AV117" s="30">
        <v>0</v>
      </c>
      <c r="AW117" s="30">
        <v>0</v>
      </c>
      <c r="AX117" s="30">
        <v>0</v>
      </c>
      <c r="AY117" s="30">
        <v>0</v>
      </c>
    </row>
    <row r="118" spans="1:51">
      <c r="A118" s="30" t="s">
        <v>619</v>
      </c>
      <c r="B118" s="30" t="s">
        <v>630</v>
      </c>
      <c r="C118" s="30">
        <v>2</v>
      </c>
      <c r="D118" s="30">
        <v>148</v>
      </c>
      <c r="E118" s="30">
        <v>296</v>
      </c>
      <c r="F118" s="30" t="s">
        <v>621</v>
      </c>
      <c r="G118" s="30" t="s">
        <v>631</v>
      </c>
      <c r="H118" s="30">
        <v>0.69314699999999996</v>
      </c>
      <c r="I118" s="30">
        <v>4.9972120000000002</v>
      </c>
      <c r="J118" s="30">
        <v>1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1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30">
        <v>0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</row>
    <row r="119" spans="1:51">
      <c r="A119" s="30" t="s">
        <v>619</v>
      </c>
      <c r="B119" s="30" t="s">
        <v>632</v>
      </c>
      <c r="C119" s="30">
        <v>2</v>
      </c>
      <c r="D119" s="30">
        <v>50</v>
      </c>
      <c r="E119" s="30">
        <v>100</v>
      </c>
      <c r="F119" s="30" t="s">
        <v>621</v>
      </c>
      <c r="G119" s="30" t="s">
        <v>631</v>
      </c>
      <c r="H119" s="30">
        <v>0.69314699999999996</v>
      </c>
      <c r="I119" s="30">
        <v>3.912023</v>
      </c>
      <c r="J119" s="30">
        <v>1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1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30">
        <v>0</v>
      </c>
      <c r="AF119" s="30">
        <v>0</v>
      </c>
      <c r="AG119" s="30">
        <v>0</v>
      </c>
      <c r="AH119" s="30">
        <v>0</v>
      </c>
      <c r="AI119" s="30">
        <v>0</v>
      </c>
      <c r="AJ119" s="30">
        <v>0</v>
      </c>
      <c r="AK119" s="30">
        <v>0</v>
      </c>
      <c r="AL119" s="30">
        <v>0</v>
      </c>
      <c r="AM119" s="30">
        <v>0</v>
      </c>
      <c r="AN119" s="30">
        <v>0</v>
      </c>
      <c r="AO119" s="30">
        <v>0</v>
      </c>
      <c r="AP119" s="30">
        <v>0</v>
      </c>
      <c r="AQ119" s="30">
        <v>0</v>
      </c>
      <c r="AR119" s="30">
        <v>0</v>
      </c>
      <c r="AS119" s="30">
        <v>0</v>
      </c>
      <c r="AT119" s="30">
        <v>0</v>
      </c>
      <c r="AU119" s="30">
        <v>0</v>
      </c>
      <c r="AV119" s="30">
        <v>0</v>
      </c>
      <c r="AW119" s="30">
        <v>0</v>
      </c>
      <c r="AX119" s="30">
        <v>0</v>
      </c>
      <c r="AY119" s="30">
        <v>0</v>
      </c>
    </row>
    <row r="120" spans="1:51">
      <c r="A120" s="30" t="s">
        <v>619</v>
      </c>
      <c r="B120" s="30" t="s">
        <v>633</v>
      </c>
      <c r="C120" s="30">
        <v>3</v>
      </c>
      <c r="D120" s="30">
        <v>15</v>
      </c>
      <c r="E120" s="30">
        <v>45</v>
      </c>
      <c r="F120" s="30" t="s">
        <v>621</v>
      </c>
      <c r="G120" s="30" t="s">
        <v>624</v>
      </c>
      <c r="H120" s="30">
        <v>1.0986119999999999</v>
      </c>
      <c r="I120" s="30">
        <v>2.7080500000000001</v>
      </c>
      <c r="J120" s="30">
        <v>1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30">
        <v>0</v>
      </c>
      <c r="AF120" s="30">
        <v>0</v>
      </c>
      <c r="AG120" s="30">
        <v>0</v>
      </c>
      <c r="AH120" s="30">
        <v>0</v>
      </c>
      <c r="AI120" s="30">
        <v>0</v>
      </c>
      <c r="AJ120" s="30">
        <v>0</v>
      </c>
      <c r="AK120" s="30">
        <v>0</v>
      </c>
      <c r="AL120" s="30">
        <v>1</v>
      </c>
      <c r="AM120" s="30">
        <v>0</v>
      </c>
      <c r="AN120" s="30">
        <v>0</v>
      </c>
      <c r="AO120" s="30">
        <v>0</v>
      </c>
      <c r="AP120" s="30">
        <v>0</v>
      </c>
      <c r="AQ120" s="30">
        <v>0</v>
      </c>
      <c r="AR120" s="30">
        <v>0</v>
      </c>
      <c r="AS120" s="30">
        <v>0</v>
      </c>
      <c r="AT120" s="30">
        <v>0</v>
      </c>
      <c r="AU120" s="30">
        <v>0</v>
      </c>
      <c r="AV120" s="30">
        <v>0</v>
      </c>
      <c r="AW120" s="30">
        <v>0</v>
      </c>
      <c r="AX120" s="30">
        <v>0</v>
      </c>
      <c r="AY120" s="30">
        <v>0</v>
      </c>
    </row>
    <row r="121" spans="1:51">
      <c r="A121" s="30" t="s">
        <v>619</v>
      </c>
      <c r="B121" s="30" t="s">
        <v>634</v>
      </c>
      <c r="C121" s="30">
        <v>3</v>
      </c>
      <c r="D121" s="30">
        <v>87</v>
      </c>
      <c r="E121" s="30">
        <v>261</v>
      </c>
      <c r="F121" s="30" t="s">
        <v>621</v>
      </c>
      <c r="G121" s="30" t="s">
        <v>624</v>
      </c>
      <c r="H121" s="30">
        <v>1.0986119999999999</v>
      </c>
      <c r="I121" s="30">
        <v>4.4659079999999998</v>
      </c>
      <c r="J121" s="30">
        <v>1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30">
        <v>0</v>
      </c>
      <c r="AF121" s="30">
        <v>0</v>
      </c>
      <c r="AG121" s="30">
        <v>0</v>
      </c>
      <c r="AH121" s="30">
        <v>0</v>
      </c>
      <c r="AI121" s="30">
        <v>0</v>
      </c>
      <c r="AJ121" s="30">
        <v>0</v>
      </c>
      <c r="AK121" s="30">
        <v>0</v>
      </c>
      <c r="AL121" s="30">
        <v>1</v>
      </c>
      <c r="AM121" s="30">
        <v>0</v>
      </c>
      <c r="AN121" s="30">
        <v>0</v>
      </c>
      <c r="AO121" s="30">
        <v>0</v>
      </c>
      <c r="AP121" s="30">
        <v>0</v>
      </c>
      <c r="AQ121" s="30">
        <v>0</v>
      </c>
      <c r="AR121" s="30">
        <v>0</v>
      </c>
      <c r="AS121" s="30">
        <v>0</v>
      </c>
      <c r="AT121" s="30">
        <v>0</v>
      </c>
      <c r="AU121" s="30">
        <v>0</v>
      </c>
      <c r="AV121" s="30">
        <v>0</v>
      </c>
      <c r="AW121" s="30">
        <v>0</v>
      </c>
      <c r="AX121" s="30">
        <v>0</v>
      </c>
      <c r="AY121" s="30">
        <v>0</v>
      </c>
    </row>
    <row r="122" spans="1:51">
      <c r="A122" s="30" t="s">
        <v>619</v>
      </c>
      <c r="B122" s="30" t="s">
        <v>635</v>
      </c>
      <c r="C122" s="30">
        <v>1</v>
      </c>
      <c r="D122" s="30">
        <v>55</v>
      </c>
      <c r="E122" s="30">
        <v>55</v>
      </c>
      <c r="F122" s="30" t="s">
        <v>621</v>
      </c>
      <c r="G122" s="30" t="s">
        <v>624</v>
      </c>
      <c r="H122" s="30">
        <v>0</v>
      </c>
      <c r="I122" s="30">
        <v>4.007333</v>
      </c>
      <c r="J122" s="30">
        <v>1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  <c r="AE122" s="30">
        <v>0</v>
      </c>
      <c r="AF122" s="30">
        <v>0</v>
      </c>
      <c r="AG122" s="30">
        <v>0</v>
      </c>
      <c r="AH122" s="30">
        <v>0</v>
      </c>
      <c r="AI122" s="30">
        <v>0</v>
      </c>
      <c r="AJ122" s="30">
        <v>0</v>
      </c>
      <c r="AK122" s="30">
        <v>0</v>
      </c>
      <c r="AL122" s="30">
        <v>1</v>
      </c>
      <c r="AM122" s="30">
        <v>0</v>
      </c>
      <c r="AN122" s="30">
        <v>0</v>
      </c>
      <c r="AO122" s="30">
        <v>0</v>
      </c>
      <c r="AP122" s="30">
        <v>0</v>
      </c>
      <c r="AQ122" s="30">
        <v>0</v>
      </c>
      <c r="AR122" s="30">
        <v>0</v>
      </c>
      <c r="AS122" s="30">
        <v>0</v>
      </c>
      <c r="AT122" s="30">
        <v>0</v>
      </c>
      <c r="AU122" s="30">
        <v>0</v>
      </c>
      <c r="AV122" s="30">
        <v>0</v>
      </c>
      <c r="AW122" s="30">
        <v>0</v>
      </c>
      <c r="AX122" s="30">
        <v>0</v>
      </c>
      <c r="AY122" s="30">
        <v>0</v>
      </c>
    </row>
    <row r="123" spans="1:51">
      <c r="A123" s="30" t="s">
        <v>619</v>
      </c>
      <c r="B123" s="30" t="s">
        <v>636</v>
      </c>
      <c r="C123" s="30">
        <v>0.5</v>
      </c>
      <c r="D123" s="30">
        <v>162</v>
      </c>
      <c r="E123" s="30">
        <v>80.7</v>
      </c>
      <c r="F123" s="30" t="s">
        <v>626</v>
      </c>
      <c r="G123" s="30" t="s">
        <v>627</v>
      </c>
      <c r="H123" s="30">
        <v>-0.69315000000000004</v>
      </c>
      <c r="I123" s="30">
        <v>5.0875959999999996</v>
      </c>
      <c r="J123" s="30">
        <v>1</v>
      </c>
      <c r="K123" s="30">
        <v>0</v>
      </c>
      <c r="L123" s="30">
        <v>0</v>
      </c>
      <c r="M123" s="30">
        <v>1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30">
        <v>0</v>
      </c>
      <c r="AF123" s="30">
        <v>0</v>
      </c>
      <c r="AG123" s="30">
        <v>0</v>
      </c>
      <c r="AH123" s="30">
        <v>0</v>
      </c>
      <c r="AI123" s="30">
        <v>0</v>
      </c>
      <c r="AJ123" s="30">
        <v>1</v>
      </c>
      <c r="AK123" s="30">
        <v>0</v>
      </c>
      <c r="AL123" s="30">
        <v>0</v>
      </c>
      <c r="AM123" s="30">
        <v>0</v>
      </c>
      <c r="AN123" s="30">
        <v>0</v>
      </c>
      <c r="AO123" s="30">
        <v>0</v>
      </c>
      <c r="AP123" s="30">
        <v>0</v>
      </c>
      <c r="AQ123" s="30">
        <v>0</v>
      </c>
      <c r="AR123" s="30">
        <v>0</v>
      </c>
      <c r="AS123" s="30">
        <v>0</v>
      </c>
      <c r="AT123" s="30">
        <v>0</v>
      </c>
      <c r="AU123" s="30">
        <v>0</v>
      </c>
      <c r="AV123" s="30">
        <v>0</v>
      </c>
      <c r="AW123" s="30">
        <v>0</v>
      </c>
      <c r="AX123" s="30">
        <v>0</v>
      </c>
      <c r="AY123" s="30">
        <v>0</v>
      </c>
    </row>
    <row r="124" spans="1:51">
      <c r="A124" s="30" t="s">
        <v>619</v>
      </c>
      <c r="B124" s="30" t="s">
        <v>637</v>
      </c>
      <c r="C124" s="30">
        <v>3</v>
      </c>
      <c r="D124" s="30">
        <v>830</v>
      </c>
      <c r="E124" s="30">
        <v>2486.4</v>
      </c>
      <c r="F124" s="30" t="s">
        <v>621</v>
      </c>
      <c r="G124" s="30" t="s">
        <v>638</v>
      </c>
      <c r="H124" s="30">
        <v>1.0986119999999999</v>
      </c>
      <c r="I124" s="30">
        <v>6.7214260000000001</v>
      </c>
      <c r="J124" s="30">
        <v>1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30">
        <v>0</v>
      </c>
      <c r="AF124" s="30">
        <v>0</v>
      </c>
      <c r="AG124" s="30">
        <v>0</v>
      </c>
      <c r="AH124" s="30">
        <v>0</v>
      </c>
      <c r="AI124" s="30">
        <v>0</v>
      </c>
      <c r="AJ124" s="30">
        <v>0</v>
      </c>
      <c r="AK124" s="30">
        <v>0</v>
      </c>
      <c r="AL124" s="30">
        <v>0</v>
      </c>
      <c r="AM124" s="30">
        <v>0</v>
      </c>
      <c r="AN124" s="30">
        <v>0</v>
      </c>
      <c r="AO124" s="30">
        <v>0</v>
      </c>
      <c r="AP124" s="30">
        <v>0</v>
      </c>
      <c r="AQ124" s="30">
        <v>0</v>
      </c>
      <c r="AR124" s="30">
        <v>0</v>
      </c>
      <c r="AS124" s="30">
        <v>0</v>
      </c>
      <c r="AT124" s="30">
        <v>0</v>
      </c>
      <c r="AU124" s="30">
        <v>0</v>
      </c>
      <c r="AV124" s="30">
        <v>0</v>
      </c>
      <c r="AW124" s="30">
        <v>0</v>
      </c>
      <c r="AX124" s="30">
        <v>0</v>
      </c>
      <c r="AY124" s="30">
        <v>0</v>
      </c>
    </row>
    <row r="125" spans="1:51">
      <c r="A125" s="30" t="s">
        <v>619</v>
      </c>
      <c r="B125" s="30" t="s">
        <v>639</v>
      </c>
      <c r="C125" s="30">
        <v>1</v>
      </c>
      <c r="D125" s="30">
        <v>4</v>
      </c>
      <c r="E125" s="30">
        <v>4</v>
      </c>
      <c r="F125" s="30" t="s">
        <v>626</v>
      </c>
      <c r="G125" s="30" t="s">
        <v>638</v>
      </c>
      <c r="H125" s="30">
        <v>0</v>
      </c>
      <c r="I125" s="30">
        <v>1.3862939999999999</v>
      </c>
      <c r="J125" s="30">
        <v>1</v>
      </c>
      <c r="K125" s="30">
        <v>0</v>
      </c>
      <c r="L125" s="30">
        <v>0</v>
      </c>
      <c r="M125" s="30">
        <v>1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30">
        <v>0</v>
      </c>
      <c r="AF125" s="30">
        <v>0</v>
      </c>
      <c r="AG125" s="30">
        <v>0</v>
      </c>
      <c r="AH125" s="30">
        <v>0</v>
      </c>
      <c r="AI125" s="30">
        <v>0</v>
      </c>
      <c r="AJ125" s="30">
        <v>0</v>
      </c>
      <c r="AK125" s="30">
        <v>0</v>
      </c>
      <c r="AL125" s="30">
        <v>0</v>
      </c>
      <c r="AM125" s="30">
        <v>0</v>
      </c>
      <c r="AN125" s="30">
        <v>0</v>
      </c>
      <c r="AO125" s="30">
        <v>0</v>
      </c>
      <c r="AP125" s="30">
        <v>0</v>
      </c>
      <c r="AQ125" s="30">
        <v>0</v>
      </c>
      <c r="AR125" s="30">
        <v>0</v>
      </c>
      <c r="AS125" s="30">
        <v>0</v>
      </c>
      <c r="AT125" s="30">
        <v>0</v>
      </c>
      <c r="AU125" s="30">
        <v>0</v>
      </c>
      <c r="AV125" s="30">
        <v>0</v>
      </c>
      <c r="AW125" s="30">
        <v>0</v>
      </c>
      <c r="AX125" s="30">
        <v>0</v>
      </c>
      <c r="AY125" s="30">
        <v>0</v>
      </c>
    </row>
    <row r="126" spans="1:51">
      <c r="A126" s="30" t="s">
        <v>619</v>
      </c>
      <c r="B126" s="30" t="s">
        <v>640</v>
      </c>
      <c r="C126" s="30">
        <v>2</v>
      </c>
      <c r="D126" s="30">
        <v>2261</v>
      </c>
      <c r="E126" s="30">
        <v>4506.6000000000004</v>
      </c>
      <c r="F126" s="30" t="s">
        <v>621</v>
      </c>
      <c r="G126" s="30" t="s">
        <v>638</v>
      </c>
      <c r="H126" s="30">
        <v>0.69314699999999996</v>
      </c>
      <c r="I126" s="30">
        <v>7.7235620000000003</v>
      </c>
      <c r="J126" s="30">
        <v>1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30">
        <v>0</v>
      </c>
      <c r="AG126" s="30">
        <v>0</v>
      </c>
      <c r="AH126" s="30">
        <v>0</v>
      </c>
      <c r="AI126" s="30">
        <v>0</v>
      </c>
      <c r="AJ126" s="30">
        <v>0</v>
      </c>
      <c r="AK126" s="30">
        <v>0</v>
      </c>
      <c r="AL126" s="30">
        <v>0</v>
      </c>
      <c r="AM126" s="30">
        <v>0</v>
      </c>
      <c r="AN126" s="30">
        <v>0</v>
      </c>
      <c r="AO126" s="30">
        <v>0</v>
      </c>
      <c r="AP126" s="30">
        <v>0</v>
      </c>
      <c r="AQ126" s="30">
        <v>0</v>
      </c>
      <c r="AR126" s="30">
        <v>0</v>
      </c>
      <c r="AS126" s="30">
        <v>0</v>
      </c>
      <c r="AT126" s="30">
        <v>0</v>
      </c>
      <c r="AU126" s="30">
        <v>0</v>
      </c>
      <c r="AV126" s="30">
        <v>0</v>
      </c>
      <c r="AW126" s="30">
        <v>0</v>
      </c>
      <c r="AX126" s="30">
        <v>0</v>
      </c>
      <c r="AY126" s="30">
        <v>0</v>
      </c>
    </row>
    <row r="127" spans="1:51">
      <c r="A127" s="30" t="s">
        <v>619</v>
      </c>
      <c r="B127" s="30" t="s">
        <v>641</v>
      </c>
      <c r="C127" s="30">
        <v>75</v>
      </c>
      <c r="D127" s="30">
        <v>4</v>
      </c>
      <c r="E127" s="30">
        <v>300</v>
      </c>
      <c r="F127" s="30" t="s">
        <v>626</v>
      </c>
      <c r="G127" s="30" t="s">
        <v>642</v>
      </c>
      <c r="H127" s="30">
        <v>4.317488</v>
      </c>
      <c r="I127" s="30">
        <v>1.3862939999999999</v>
      </c>
      <c r="J127" s="30">
        <v>1</v>
      </c>
      <c r="K127" s="30">
        <v>0</v>
      </c>
      <c r="L127" s="30">
        <v>0</v>
      </c>
      <c r="M127" s="30">
        <v>1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1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30">
        <v>0</v>
      </c>
      <c r="AG127" s="30">
        <v>0</v>
      </c>
      <c r="AH127" s="30">
        <v>0</v>
      </c>
      <c r="AI127" s="30">
        <v>0</v>
      </c>
      <c r="AJ127" s="30">
        <v>0</v>
      </c>
      <c r="AK127" s="30">
        <v>0</v>
      </c>
      <c r="AL127" s="30">
        <v>0</v>
      </c>
      <c r="AM127" s="30">
        <v>0</v>
      </c>
      <c r="AN127" s="30">
        <v>0</v>
      </c>
      <c r="AO127" s="30">
        <v>0</v>
      </c>
      <c r="AP127" s="30">
        <v>0</v>
      </c>
      <c r="AQ127" s="30">
        <v>0</v>
      </c>
      <c r="AR127" s="30">
        <v>0</v>
      </c>
      <c r="AS127" s="30">
        <v>0</v>
      </c>
      <c r="AT127" s="30">
        <v>0</v>
      </c>
      <c r="AU127" s="30">
        <v>0</v>
      </c>
      <c r="AV127" s="30">
        <v>0</v>
      </c>
      <c r="AW127" s="30">
        <v>0</v>
      </c>
      <c r="AX127" s="30">
        <v>0</v>
      </c>
      <c r="AY127" s="30">
        <v>0</v>
      </c>
    </row>
    <row r="128" spans="1:51">
      <c r="A128" s="30" t="s">
        <v>619</v>
      </c>
      <c r="B128" s="30" t="s">
        <v>643</v>
      </c>
      <c r="C128" s="30">
        <v>3</v>
      </c>
      <c r="D128" s="30">
        <v>3073</v>
      </c>
      <c r="E128" s="30">
        <v>9219</v>
      </c>
      <c r="F128" s="30" t="s">
        <v>621</v>
      </c>
      <c r="G128" s="30" t="s">
        <v>624</v>
      </c>
      <c r="H128" s="30">
        <v>1.0986119999999999</v>
      </c>
      <c r="I128" s="30">
        <v>8.0304099999999998</v>
      </c>
      <c r="J128" s="30">
        <v>1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30">
        <v>0</v>
      </c>
      <c r="AG128" s="30">
        <v>0</v>
      </c>
      <c r="AH128" s="30">
        <v>0</v>
      </c>
      <c r="AI128" s="30">
        <v>0</v>
      </c>
      <c r="AJ128" s="30">
        <v>0</v>
      </c>
      <c r="AK128" s="30">
        <v>0</v>
      </c>
      <c r="AL128" s="30">
        <v>1</v>
      </c>
      <c r="AM128" s="30">
        <v>0</v>
      </c>
      <c r="AN128" s="30">
        <v>0</v>
      </c>
      <c r="AO128" s="30">
        <v>0</v>
      </c>
      <c r="AP128" s="30">
        <v>0</v>
      </c>
      <c r="AQ128" s="30">
        <v>0</v>
      </c>
      <c r="AR128" s="30">
        <v>0</v>
      </c>
      <c r="AS128" s="30">
        <v>0</v>
      </c>
      <c r="AT128" s="30">
        <v>0</v>
      </c>
      <c r="AU128" s="30">
        <v>0</v>
      </c>
      <c r="AV128" s="30">
        <v>0</v>
      </c>
      <c r="AW128" s="30">
        <v>0</v>
      </c>
      <c r="AX128" s="30">
        <v>0</v>
      </c>
      <c r="AY128" s="30">
        <v>0</v>
      </c>
    </row>
    <row r="129" spans="1:51">
      <c r="A129" s="30" t="s">
        <v>619</v>
      </c>
      <c r="B129" s="30" t="s">
        <v>644</v>
      </c>
      <c r="C129" s="30">
        <v>10</v>
      </c>
      <c r="D129" s="30">
        <v>24</v>
      </c>
      <c r="E129" s="30">
        <v>240</v>
      </c>
      <c r="F129" s="30" t="s">
        <v>626</v>
      </c>
      <c r="G129" s="30" t="s">
        <v>642</v>
      </c>
      <c r="H129" s="30">
        <v>2.3025850000000001</v>
      </c>
      <c r="I129" s="30">
        <v>3.1780539999999999</v>
      </c>
      <c r="J129" s="30">
        <v>1</v>
      </c>
      <c r="K129" s="30">
        <v>0</v>
      </c>
      <c r="L129" s="30">
        <v>0</v>
      </c>
      <c r="M129" s="30">
        <v>1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1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30">
        <v>0</v>
      </c>
      <c r="AG129" s="30">
        <v>0</v>
      </c>
      <c r="AH129" s="30">
        <v>0</v>
      </c>
      <c r="AI129" s="30">
        <v>0</v>
      </c>
      <c r="AJ129" s="30">
        <v>0</v>
      </c>
      <c r="AK129" s="30">
        <v>0</v>
      </c>
      <c r="AL129" s="30">
        <v>0</v>
      </c>
      <c r="AM129" s="30">
        <v>0</v>
      </c>
      <c r="AN129" s="30">
        <v>0</v>
      </c>
      <c r="AO129" s="30">
        <v>0</v>
      </c>
      <c r="AP129" s="30">
        <v>0</v>
      </c>
      <c r="AQ129" s="30">
        <v>0</v>
      </c>
      <c r="AR129" s="30">
        <v>0</v>
      </c>
      <c r="AS129" s="30">
        <v>0</v>
      </c>
      <c r="AT129" s="30">
        <v>0</v>
      </c>
      <c r="AU129" s="30">
        <v>0</v>
      </c>
      <c r="AV129" s="30">
        <v>0</v>
      </c>
      <c r="AW129" s="30">
        <v>0</v>
      </c>
      <c r="AX129" s="30">
        <v>0</v>
      </c>
      <c r="AY129" s="30">
        <v>0</v>
      </c>
    </row>
    <row r="130" spans="1:51">
      <c r="A130" s="30" t="s">
        <v>619</v>
      </c>
      <c r="B130" s="30" t="s">
        <v>645</v>
      </c>
      <c r="C130" s="30">
        <v>10</v>
      </c>
      <c r="D130" s="30">
        <v>5</v>
      </c>
      <c r="E130" s="30">
        <v>50</v>
      </c>
      <c r="F130" s="30" t="s">
        <v>626</v>
      </c>
      <c r="G130" s="30" t="s">
        <v>642</v>
      </c>
      <c r="H130" s="30">
        <v>2.3025850000000001</v>
      </c>
      <c r="I130" s="30">
        <v>1.6094379999999999</v>
      </c>
      <c r="J130" s="30">
        <v>1</v>
      </c>
      <c r="K130" s="30">
        <v>0</v>
      </c>
      <c r="L130" s="30">
        <v>0</v>
      </c>
      <c r="M130" s="30">
        <v>1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30">
        <v>0</v>
      </c>
      <c r="AF130" s="30">
        <v>0</v>
      </c>
      <c r="AG130" s="30">
        <v>0</v>
      </c>
      <c r="AH130" s="30">
        <v>0</v>
      </c>
      <c r="AI130" s="30">
        <v>0</v>
      </c>
      <c r="AJ130" s="30">
        <v>0</v>
      </c>
      <c r="AK130" s="30">
        <v>0</v>
      </c>
      <c r="AL130" s="30">
        <v>0</v>
      </c>
      <c r="AM130" s="30">
        <v>0</v>
      </c>
      <c r="AN130" s="30">
        <v>0</v>
      </c>
      <c r="AO130" s="30">
        <v>0</v>
      </c>
      <c r="AP130" s="30">
        <v>0</v>
      </c>
      <c r="AQ130" s="30">
        <v>0</v>
      </c>
      <c r="AR130" s="30">
        <v>0</v>
      </c>
      <c r="AS130" s="30">
        <v>0</v>
      </c>
      <c r="AT130" s="30">
        <v>0</v>
      </c>
      <c r="AU130" s="30">
        <v>0</v>
      </c>
      <c r="AV130" s="30">
        <v>0</v>
      </c>
      <c r="AW130" s="30">
        <v>0</v>
      </c>
      <c r="AX130" s="30">
        <v>0</v>
      </c>
      <c r="AY130" s="30">
        <v>0</v>
      </c>
    </row>
    <row r="131" spans="1:51">
      <c r="A131" s="30" t="s">
        <v>619</v>
      </c>
      <c r="B131" s="30" t="s">
        <v>646</v>
      </c>
      <c r="C131" s="30">
        <v>5</v>
      </c>
      <c r="D131" s="30">
        <v>113</v>
      </c>
      <c r="E131" s="30">
        <v>565</v>
      </c>
      <c r="F131" s="30" t="s">
        <v>621</v>
      </c>
      <c r="G131" s="30" t="s">
        <v>642</v>
      </c>
      <c r="H131" s="30">
        <v>1.6094379999999999</v>
      </c>
      <c r="I131" s="30">
        <v>4.7273880000000004</v>
      </c>
      <c r="J131" s="30">
        <v>1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1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30">
        <v>0</v>
      </c>
      <c r="AG131" s="30">
        <v>0</v>
      </c>
      <c r="AH131" s="30">
        <v>0</v>
      </c>
      <c r="AI131" s="30">
        <v>0</v>
      </c>
      <c r="AJ131" s="30">
        <v>0</v>
      </c>
      <c r="AK131" s="30">
        <v>0</v>
      </c>
      <c r="AL131" s="30">
        <v>0</v>
      </c>
      <c r="AM131" s="30">
        <v>0</v>
      </c>
      <c r="AN131" s="30">
        <v>0</v>
      </c>
      <c r="AO131" s="30">
        <v>0</v>
      </c>
      <c r="AP131" s="30">
        <v>0</v>
      </c>
      <c r="AQ131" s="30">
        <v>0</v>
      </c>
      <c r="AR131" s="30">
        <v>0</v>
      </c>
      <c r="AS131" s="30">
        <v>0</v>
      </c>
      <c r="AT131" s="30">
        <v>0</v>
      </c>
      <c r="AU131" s="30">
        <v>0</v>
      </c>
      <c r="AV131" s="30">
        <v>0</v>
      </c>
      <c r="AW131" s="30">
        <v>0</v>
      </c>
      <c r="AX131" s="30">
        <v>0</v>
      </c>
      <c r="AY131" s="30">
        <v>0</v>
      </c>
    </row>
    <row r="132" spans="1:51">
      <c r="A132" s="30" t="s">
        <v>619</v>
      </c>
      <c r="B132" s="30" t="s">
        <v>647</v>
      </c>
      <c r="C132" s="30">
        <v>12</v>
      </c>
      <c r="D132" s="30">
        <v>67</v>
      </c>
      <c r="E132" s="30">
        <v>804</v>
      </c>
      <c r="F132" s="30" t="s">
        <v>621</v>
      </c>
      <c r="G132" s="30" t="s">
        <v>648</v>
      </c>
      <c r="H132" s="30">
        <v>2.4849070000000002</v>
      </c>
      <c r="I132" s="30">
        <v>4.2046929999999998</v>
      </c>
      <c r="J132" s="30">
        <v>1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30">
        <v>0</v>
      </c>
      <c r="AG132" s="30">
        <v>0</v>
      </c>
      <c r="AH132" s="30">
        <v>0</v>
      </c>
      <c r="AI132" s="30">
        <v>0</v>
      </c>
      <c r="AJ132" s="30">
        <v>0</v>
      </c>
      <c r="AK132" s="30">
        <v>0</v>
      </c>
      <c r="AL132" s="30">
        <v>0</v>
      </c>
      <c r="AM132" s="30">
        <v>0</v>
      </c>
      <c r="AN132" s="30">
        <v>0</v>
      </c>
      <c r="AO132" s="30">
        <v>1</v>
      </c>
      <c r="AP132" s="30">
        <v>0</v>
      </c>
      <c r="AQ132" s="30">
        <v>0</v>
      </c>
      <c r="AR132" s="30">
        <v>0</v>
      </c>
      <c r="AS132" s="30">
        <v>0</v>
      </c>
      <c r="AT132" s="30">
        <v>0</v>
      </c>
      <c r="AU132" s="30">
        <v>0</v>
      </c>
      <c r="AV132" s="30">
        <v>0</v>
      </c>
      <c r="AW132" s="30">
        <v>0</v>
      </c>
      <c r="AX132" s="30">
        <v>0</v>
      </c>
      <c r="AY132" s="30">
        <v>0</v>
      </c>
    </row>
    <row r="133" spans="1:51">
      <c r="A133" s="30" t="s">
        <v>619</v>
      </c>
      <c r="B133" s="30" t="s">
        <v>649</v>
      </c>
      <c r="C133" s="30">
        <v>2</v>
      </c>
      <c r="D133" s="30">
        <v>2480</v>
      </c>
      <c r="E133" s="30">
        <v>4960</v>
      </c>
      <c r="F133" s="30" t="s">
        <v>621</v>
      </c>
      <c r="G133" s="30" t="s">
        <v>650</v>
      </c>
      <c r="H133" s="30">
        <v>0.69314699999999996</v>
      </c>
      <c r="I133" s="30">
        <v>7.816014</v>
      </c>
      <c r="J133" s="30">
        <v>1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30">
        <v>0</v>
      </c>
      <c r="AF133" s="30">
        <v>0</v>
      </c>
      <c r="AG133" s="30">
        <v>0</v>
      </c>
      <c r="AH133" s="30">
        <v>0</v>
      </c>
      <c r="AI133" s="30">
        <v>0</v>
      </c>
      <c r="AJ133" s="30">
        <v>0</v>
      </c>
      <c r="AK133" s="30">
        <v>0</v>
      </c>
      <c r="AL133" s="30">
        <v>0</v>
      </c>
      <c r="AM133" s="30">
        <v>1</v>
      </c>
      <c r="AN133" s="30">
        <v>0</v>
      </c>
      <c r="AO133" s="30">
        <v>0</v>
      </c>
      <c r="AP133" s="30">
        <v>0</v>
      </c>
      <c r="AQ133" s="30">
        <v>0</v>
      </c>
      <c r="AR133" s="30">
        <v>0</v>
      </c>
      <c r="AS133" s="30">
        <v>0</v>
      </c>
      <c r="AT133" s="30">
        <v>0</v>
      </c>
      <c r="AU133" s="30">
        <v>0</v>
      </c>
      <c r="AV133" s="30">
        <v>0</v>
      </c>
      <c r="AW133" s="30">
        <v>0</v>
      </c>
      <c r="AX133" s="30">
        <v>0</v>
      </c>
      <c r="AY133" s="30">
        <v>0</v>
      </c>
    </row>
    <row r="134" spans="1:51">
      <c r="A134" s="30" t="s">
        <v>619</v>
      </c>
      <c r="B134" s="30" t="s">
        <v>651</v>
      </c>
      <c r="C134" s="30">
        <v>2</v>
      </c>
      <c r="D134" s="30">
        <v>85</v>
      </c>
      <c r="E134" s="30">
        <v>170</v>
      </c>
      <c r="F134" s="30" t="s">
        <v>621</v>
      </c>
      <c r="G134" s="30" t="s">
        <v>648</v>
      </c>
      <c r="H134" s="30">
        <v>0.69314699999999996</v>
      </c>
      <c r="I134" s="30">
        <v>4.4426509999999997</v>
      </c>
      <c r="J134" s="30">
        <v>1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30">
        <v>0</v>
      </c>
      <c r="AF134" s="30">
        <v>0</v>
      </c>
      <c r="AG134" s="30">
        <v>0</v>
      </c>
      <c r="AH134" s="30">
        <v>0</v>
      </c>
      <c r="AI134" s="30">
        <v>0</v>
      </c>
      <c r="AJ134" s="30">
        <v>0</v>
      </c>
      <c r="AK134" s="30">
        <v>0</v>
      </c>
      <c r="AL134" s="30">
        <v>0</v>
      </c>
      <c r="AM134" s="30">
        <v>0</v>
      </c>
      <c r="AN134" s="30">
        <v>0</v>
      </c>
      <c r="AO134" s="30">
        <v>1</v>
      </c>
      <c r="AP134" s="30">
        <v>0</v>
      </c>
      <c r="AQ134" s="30">
        <v>0</v>
      </c>
      <c r="AR134" s="30">
        <v>0</v>
      </c>
      <c r="AS134" s="30">
        <v>0</v>
      </c>
      <c r="AT134" s="30">
        <v>0</v>
      </c>
      <c r="AU134" s="30">
        <v>0</v>
      </c>
      <c r="AV134" s="30">
        <v>0</v>
      </c>
      <c r="AW134" s="30">
        <v>0</v>
      </c>
      <c r="AX134" s="30">
        <v>0</v>
      </c>
      <c r="AY134" s="30">
        <v>0</v>
      </c>
    </row>
    <row r="135" spans="1:51">
      <c r="A135" s="30" t="s">
        <v>619</v>
      </c>
      <c r="B135" s="30" t="s">
        <v>652</v>
      </c>
      <c r="C135" s="30">
        <v>3</v>
      </c>
      <c r="D135" s="30">
        <v>1375</v>
      </c>
      <c r="E135" s="30">
        <v>4124.55</v>
      </c>
      <c r="F135" s="30" t="s">
        <v>621</v>
      </c>
      <c r="G135" s="30" t="s">
        <v>638</v>
      </c>
      <c r="H135" s="30">
        <v>1.0986119999999999</v>
      </c>
      <c r="I135" s="30">
        <v>7.2262089999999999</v>
      </c>
      <c r="J135" s="30">
        <v>1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30">
        <v>0</v>
      </c>
      <c r="AG135" s="30">
        <v>0</v>
      </c>
      <c r="AH135" s="30">
        <v>0</v>
      </c>
      <c r="AI135" s="30">
        <v>0</v>
      </c>
      <c r="AJ135" s="30">
        <v>0</v>
      </c>
      <c r="AK135" s="30">
        <v>0</v>
      </c>
      <c r="AL135" s="30">
        <v>0</v>
      </c>
      <c r="AM135" s="30">
        <v>0</v>
      </c>
      <c r="AN135" s="30">
        <v>0</v>
      </c>
      <c r="AO135" s="30">
        <v>0</v>
      </c>
      <c r="AP135" s="30">
        <v>0</v>
      </c>
      <c r="AQ135" s="30">
        <v>0</v>
      </c>
      <c r="AR135" s="30">
        <v>0</v>
      </c>
      <c r="AS135" s="30">
        <v>0</v>
      </c>
      <c r="AT135" s="30">
        <v>0</v>
      </c>
      <c r="AU135" s="30">
        <v>0</v>
      </c>
      <c r="AV135" s="30">
        <v>0</v>
      </c>
      <c r="AW135" s="30">
        <v>0</v>
      </c>
      <c r="AX135" s="30">
        <v>0</v>
      </c>
      <c r="AY135" s="30">
        <v>0</v>
      </c>
    </row>
    <row r="136" spans="1:51">
      <c r="A136" s="30" t="s">
        <v>619</v>
      </c>
      <c r="B136" s="30" t="s">
        <v>653</v>
      </c>
      <c r="C136" s="30">
        <v>2</v>
      </c>
      <c r="D136" s="30">
        <v>1041</v>
      </c>
      <c r="E136" s="30">
        <v>2069.3000000000002</v>
      </c>
      <c r="F136" s="30" t="s">
        <v>621</v>
      </c>
      <c r="G136" s="30" t="s">
        <v>638</v>
      </c>
      <c r="H136" s="30">
        <v>0.69314699999999996</v>
      </c>
      <c r="I136" s="30">
        <v>6.9479369999999996</v>
      </c>
      <c r="J136" s="30">
        <v>1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30">
        <v>0</v>
      </c>
      <c r="AF136" s="30">
        <v>0</v>
      </c>
      <c r="AG136" s="30">
        <v>0</v>
      </c>
      <c r="AH136" s="30">
        <v>0</v>
      </c>
      <c r="AI136" s="30">
        <v>0</v>
      </c>
      <c r="AJ136" s="30">
        <v>0</v>
      </c>
      <c r="AK136" s="30">
        <v>0</v>
      </c>
      <c r="AL136" s="30">
        <v>0</v>
      </c>
      <c r="AM136" s="30">
        <v>0</v>
      </c>
      <c r="AN136" s="30">
        <v>0</v>
      </c>
      <c r="AO136" s="30">
        <v>0</v>
      </c>
      <c r="AP136" s="30">
        <v>0</v>
      </c>
      <c r="AQ136" s="30">
        <v>0</v>
      </c>
      <c r="AR136" s="30">
        <v>0</v>
      </c>
      <c r="AS136" s="30">
        <v>0</v>
      </c>
      <c r="AT136" s="30">
        <v>0</v>
      </c>
      <c r="AU136" s="30">
        <v>0</v>
      </c>
      <c r="AV136" s="30">
        <v>0</v>
      </c>
      <c r="AW136" s="30">
        <v>0</v>
      </c>
      <c r="AX136" s="30">
        <v>0</v>
      </c>
      <c r="AY136" s="30">
        <v>0</v>
      </c>
    </row>
    <row r="137" spans="1:51">
      <c r="A137" s="30" t="s">
        <v>619</v>
      </c>
      <c r="B137" s="30" t="s">
        <v>654</v>
      </c>
      <c r="C137" s="30">
        <v>3</v>
      </c>
      <c r="D137" s="30">
        <v>9</v>
      </c>
      <c r="E137" s="30">
        <v>27</v>
      </c>
      <c r="F137" s="30" t="s">
        <v>621</v>
      </c>
      <c r="G137" s="30" t="s">
        <v>624</v>
      </c>
      <c r="H137" s="30">
        <v>1.0986119999999999</v>
      </c>
      <c r="I137" s="30">
        <v>2.197225</v>
      </c>
      <c r="J137" s="30">
        <v>1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30">
        <v>0</v>
      </c>
      <c r="AG137" s="30">
        <v>0</v>
      </c>
      <c r="AH137" s="30">
        <v>0</v>
      </c>
      <c r="AI137" s="30">
        <v>0</v>
      </c>
      <c r="AJ137" s="30">
        <v>0</v>
      </c>
      <c r="AK137" s="30">
        <v>0</v>
      </c>
      <c r="AL137" s="30">
        <v>1</v>
      </c>
      <c r="AM137" s="30">
        <v>0</v>
      </c>
      <c r="AN137" s="30">
        <v>0</v>
      </c>
      <c r="AO137" s="30">
        <v>0</v>
      </c>
      <c r="AP137" s="30">
        <v>0</v>
      </c>
      <c r="AQ137" s="30">
        <v>0</v>
      </c>
      <c r="AR137" s="30">
        <v>0</v>
      </c>
      <c r="AS137" s="30">
        <v>0</v>
      </c>
      <c r="AT137" s="30">
        <v>0</v>
      </c>
      <c r="AU137" s="30">
        <v>0</v>
      </c>
      <c r="AV137" s="30">
        <v>0</v>
      </c>
      <c r="AW137" s="30">
        <v>0</v>
      </c>
      <c r="AX137" s="30">
        <v>0</v>
      </c>
      <c r="AY137" s="30">
        <v>0</v>
      </c>
    </row>
    <row r="138" spans="1:51">
      <c r="A138" s="30" t="s">
        <v>619</v>
      </c>
      <c r="B138" s="30" t="s">
        <v>655</v>
      </c>
      <c r="C138" s="30">
        <v>0.5</v>
      </c>
      <c r="D138" s="30">
        <v>737</v>
      </c>
      <c r="E138" s="30">
        <v>350.2</v>
      </c>
      <c r="F138" s="30" t="s">
        <v>626</v>
      </c>
      <c r="G138" s="30" t="s">
        <v>627</v>
      </c>
      <c r="H138" s="30">
        <v>-0.69315000000000004</v>
      </c>
      <c r="I138" s="30">
        <v>6.6025879999999999</v>
      </c>
      <c r="J138" s="30">
        <v>1</v>
      </c>
      <c r="K138" s="30">
        <v>0</v>
      </c>
      <c r="L138" s="30">
        <v>0</v>
      </c>
      <c r="M138" s="30">
        <v>1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  <c r="AE138" s="30">
        <v>0</v>
      </c>
      <c r="AF138" s="30">
        <v>0</v>
      </c>
      <c r="AG138" s="30">
        <v>0</v>
      </c>
      <c r="AH138" s="30">
        <v>0</v>
      </c>
      <c r="AI138" s="30">
        <v>0</v>
      </c>
      <c r="AJ138" s="30">
        <v>1</v>
      </c>
      <c r="AK138" s="30">
        <v>0</v>
      </c>
      <c r="AL138" s="30">
        <v>0</v>
      </c>
      <c r="AM138" s="30">
        <v>0</v>
      </c>
      <c r="AN138" s="30">
        <v>0</v>
      </c>
      <c r="AO138" s="30">
        <v>0</v>
      </c>
      <c r="AP138" s="30">
        <v>0</v>
      </c>
      <c r="AQ138" s="30">
        <v>0</v>
      </c>
      <c r="AR138" s="30">
        <v>0</v>
      </c>
      <c r="AS138" s="30">
        <v>0</v>
      </c>
      <c r="AT138" s="30">
        <v>0</v>
      </c>
      <c r="AU138" s="30">
        <v>0</v>
      </c>
      <c r="AV138" s="30">
        <v>0</v>
      </c>
      <c r="AW138" s="30">
        <v>0</v>
      </c>
      <c r="AX138" s="30">
        <v>0</v>
      </c>
      <c r="AY138" s="30">
        <v>0</v>
      </c>
    </row>
    <row r="139" spans="1:51">
      <c r="A139" s="30" t="s">
        <v>619</v>
      </c>
      <c r="B139" s="30" t="s">
        <v>656</v>
      </c>
      <c r="C139" s="30">
        <v>0.5</v>
      </c>
      <c r="D139" s="30">
        <v>26</v>
      </c>
      <c r="E139" s="30">
        <v>13</v>
      </c>
      <c r="F139" s="30" t="s">
        <v>626</v>
      </c>
      <c r="G139" s="30" t="s">
        <v>627</v>
      </c>
      <c r="H139" s="30">
        <v>-0.69315000000000004</v>
      </c>
      <c r="I139" s="30">
        <v>3.2580969999999998</v>
      </c>
      <c r="J139" s="30">
        <v>1</v>
      </c>
      <c r="K139" s="30">
        <v>0</v>
      </c>
      <c r="L139" s="30">
        <v>0</v>
      </c>
      <c r="M139" s="30">
        <v>1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30">
        <v>0</v>
      </c>
      <c r="AG139" s="30">
        <v>0</v>
      </c>
      <c r="AH139" s="30">
        <v>0</v>
      </c>
      <c r="AI139" s="30">
        <v>0</v>
      </c>
      <c r="AJ139" s="30">
        <v>1</v>
      </c>
      <c r="AK139" s="30">
        <v>0</v>
      </c>
      <c r="AL139" s="30">
        <v>0</v>
      </c>
      <c r="AM139" s="30">
        <v>0</v>
      </c>
      <c r="AN139" s="30">
        <v>0</v>
      </c>
      <c r="AO139" s="30">
        <v>0</v>
      </c>
      <c r="AP139" s="30">
        <v>0</v>
      </c>
      <c r="AQ139" s="30">
        <v>0</v>
      </c>
      <c r="AR139" s="30">
        <v>0</v>
      </c>
      <c r="AS139" s="30">
        <v>0</v>
      </c>
      <c r="AT139" s="30">
        <v>0</v>
      </c>
      <c r="AU139" s="30">
        <v>0</v>
      </c>
      <c r="AV139" s="30">
        <v>0</v>
      </c>
      <c r="AW139" s="30">
        <v>0</v>
      </c>
      <c r="AX139" s="30">
        <v>0</v>
      </c>
      <c r="AY139" s="30">
        <v>0</v>
      </c>
    </row>
    <row r="140" spans="1:51">
      <c r="A140" s="30" t="s">
        <v>619</v>
      </c>
      <c r="B140" s="30" t="s">
        <v>657</v>
      </c>
      <c r="C140" s="30">
        <v>0.5</v>
      </c>
      <c r="D140" s="30">
        <v>153</v>
      </c>
      <c r="E140" s="30">
        <v>76.5</v>
      </c>
      <c r="F140" s="30" t="s">
        <v>626</v>
      </c>
      <c r="G140" s="30" t="s">
        <v>627</v>
      </c>
      <c r="H140" s="30">
        <v>-0.69315000000000004</v>
      </c>
      <c r="I140" s="30">
        <v>5.0304380000000002</v>
      </c>
      <c r="J140" s="30">
        <v>1</v>
      </c>
      <c r="K140" s="30">
        <v>0</v>
      </c>
      <c r="L140" s="30">
        <v>0</v>
      </c>
      <c r="M140" s="30">
        <v>1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30">
        <v>0</v>
      </c>
      <c r="AE140" s="30">
        <v>0</v>
      </c>
      <c r="AF140" s="30">
        <v>0</v>
      </c>
      <c r="AG140" s="30">
        <v>0</v>
      </c>
      <c r="AH140" s="30">
        <v>0</v>
      </c>
      <c r="AI140" s="30">
        <v>0</v>
      </c>
      <c r="AJ140" s="30">
        <v>1</v>
      </c>
      <c r="AK140" s="30">
        <v>0</v>
      </c>
      <c r="AL140" s="30">
        <v>0</v>
      </c>
      <c r="AM140" s="30">
        <v>0</v>
      </c>
      <c r="AN140" s="30">
        <v>0</v>
      </c>
      <c r="AO140" s="30">
        <v>0</v>
      </c>
      <c r="AP140" s="30">
        <v>0</v>
      </c>
      <c r="AQ140" s="30">
        <v>0</v>
      </c>
      <c r="AR140" s="30">
        <v>0</v>
      </c>
      <c r="AS140" s="30">
        <v>0</v>
      </c>
      <c r="AT140" s="30">
        <v>0</v>
      </c>
      <c r="AU140" s="30">
        <v>0</v>
      </c>
      <c r="AV140" s="30">
        <v>0</v>
      </c>
      <c r="AW140" s="30">
        <v>0</v>
      </c>
      <c r="AX140" s="30">
        <v>0</v>
      </c>
      <c r="AY140" s="30">
        <v>0</v>
      </c>
    </row>
    <row r="141" spans="1:51">
      <c r="A141" s="30" t="s">
        <v>619</v>
      </c>
      <c r="B141" s="30" t="s">
        <v>658</v>
      </c>
      <c r="C141" s="30">
        <v>0.5</v>
      </c>
      <c r="D141" s="30">
        <v>201</v>
      </c>
      <c r="E141" s="30">
        <v>100.5</v>
      </c>
      <c r="F141" s="30" t="s">
        <v>626</v>
      </c>
      <c r="G141" s="30" t="s">
        <v>627</v>
      </c>
      <c r="H141" s="30">
        <v>-0.69315000000000004</v>
      </c>
      <c r="I141" s="30">
        <v>5.3033049999999999</v>
      </c>
      <c r="J141" s="30">
        <v>1</v>
      </c>
      <c r="K141" s="30">
        <v>0</v>
      </c>
      <c r="L141" s="30">
        <v>0</v>
      </c>
      <c r="M141" s="30">
        <v>1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30">
        <v>0</v>
      </c>
      <c r="AG141" s="30">
        <v>0</v>
      </c>
      <c r="AH141" s="30">
        <v>0</v>
      </c>
      <c r="AI141" s="30">
        <v>0</v>
      </c>
      <c r="AJ141" s="30">
        <v>1</v>
      </c>
      <c r="AK141" s="30">
        <v>0</v>
      </c>
      <c r="AL141" s="30">
        <v>0</v>
      </c>
      <c r="AM141" s="30">
        <v>0</v>
      </c>
      <c r="AN141" s="30">
        <v>0</v>
      </c>
      <c r="AO141" s="30">
        <v>0</v>
      </c>
      <c r="AP141" s="30">
        <v>0</v>
      </c>
      <c r="AQ141" s="30">
        <v>0</v>
      </c>
      <c r="AR141" s="30">
        <v>0</v>
      </c>
      <c r="AS141" s="30">
        <v>0</v>
      </c>
      <c r="AT141" s="30">
        <v>0</v>
      </c>
      <c r="AU141" s="30">
        <v>0</v>
      </c>
      <c r="AV141" s="30">
        <v>0</v>
      </c>
      <c r="AW141" s="30">
        <v>0</v>
      </c>
      <c r="AX141" s="30">
        <v>0</v>
      </c>
      <c r="AY141" s="30">
        <v>0</v>
      </c>
    </row>
    <row r="142" spans="1:51">
      <c r="A142" s="30" t="s">
        <v>619</v>
      </c>
      <c r="B142" s="30" t="s">
        <v>659</v>
      </c>
      <c r="C142" s="30">
        <v>3</v>
      </c>
      <c r="D142" s="30">
        <v>2293</v>
      </c>
      <c r="E142" s="30">
        <v>6876.3</v>
      </c>
      <c r="F142" s="30" t="s">
        <v>621</v>
      </c>
      <c r="G142" s="30" t="s">
        <v>638</v>
      </c>
      <c r="H142" s="30">
        <v>1.0986119999999999</v>
      </c>
      <c r="I142" s="30">
        <v>7.737616</v>
      </c>
      <c r="J142" s="30">
        <v>1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  <c r="AE142" s="30">
        <v>0</v>
      </c>
      <c r="AF142" s="30">
        <v>0</v>
      </c>
      <c r="AG142" s="30">
        <v>0</v>
      </c>
      <c r="AH142" s="30">
        <v>0</v>
      </c>
      <c r="AI142" s="30">
        <v>0</v>
      </c>
      <c r="AJ142" s="30">
        <v>0</v>
      </c>
      <c r="AK142" s="30">
        <v>0</v>
      </c>
      <c r="AL142" s="30">
        <v>0</v>
      </c>
      <c r="AM142" s="30">
        <v>0</v>
      </c>
      <c r="AN142" s="30">
        <v>0</v>
      </c>
      <c r="AO142" s="30">
        <v>0</v>
      </c>
      <c r="AP142" s="30">
        <v>0</v>
      </c>
      <c r="AQ142" s="30">
        <v>0</v>
      </c>
      <c r="AR142" s="30">
        <v>0</v>
      </c>
      <c r="AS142" s="30">
        <v>0</v>
      </c>
      <c r="AT142" s="30">
        <v>0</v>
      </c>
      <c r="AU142" s="30">
        <v>0</v>
      </c>
      <c r="AV142" s="30">
        <v>0</v>
      </c>
      <c r="AW142" s="30">
        <v>0</v>
      </c>
      <c r="AX142" s="30">
        <v>0</v>
      </c>
      <c r="AY142" s="30">
        <v>0</v>
      </c>
    </row>
    <row r="143" spans="1:51">
      <c r="A143" s="30" t="s">
        <v>619</v>
      </c>
      <c r="B143" s="30" t="s">
        <v>660</v>
      </c>
      <c r="C143" s="30">
        <v>2</v>
      </c>
      <c r="D143" s="30">
        <v>3418</v>
      </c>
      <c r="E143" s="30">
        <v>6828.4</v>
      </c>
      <c r="F143" s="30" t="s">
        <v>621</v>
      </c>
      <c r="G143" s="30" t="s">
        <v>638</v>
      </c>
      <c r="H143" s="30">
        <v>0.69314699999999996</v>
      </c>
      <c r="I143" s="30">
        <v>8.1368109999999998</v>
      </c>
      <c r="J143" s="30">
        <v>1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30">
        <v>0</v>
      </c>
      <c r="AG143" s="30">
        <v>0</v>
      </c>
      <c r="AH143" s="30">
        <v>0</v>
      </c>
      <c r="AI143" s="30">
        <v>0</v>
      </c>
      <c r="AJ143" s="30">
        <v>0</v>
      </c>
      <c r="AK143" s="30">
        <v>0</v>
      </c>
      <c r="AL143" s="30">
        <v>0</v>
      </c>
      <c r="AM143" s="30">
        <v>0</v>
      </c>
      <c r="AN143" s="30">
        <v>0</v>
      </c>
      <c r="AO143" s="30">
        <v>0</v>
      </c>
      <c r="AP143" s="30">
        <v>0</v>
      </c>
      <c r="AQ143" s="30">
        <v>0</v>
      </c>
      <c r="AR143" s="30">
        <v>0</v>
      </c>
      <c r="AS143" s="30">
        <v>0</v>
      </c>
      <c r="AT143" s="30">
        <v>0</v>
      </c>
      <c r="AU143" s="30">
        <v>0</v>
      </c>
      <c r="AV143" s="30">
        <v>0</v>
      </c>
      <c r="AW143" s="30">
        <v>0</v>
      </c>
      <c r="AX143" s="30">
        <v>0</v>
      </c>
      <c r="AY143" s="30">
        <v>0</v>
      </c>
    </row>
    <row r="144" spans="1:51">
      <c r="A144" s="30" t="s">
        <v>619</v>
      </c>
      <c r="B144" s="30" t="s">
        <v>661</v>
      </c>
      <c r="C144" s="30">
        <v>3</v>
      </c>
      <c r="D144" s="30">
        <v>572</v>
      </c>
      <c r="E144" s="30">
        <v>1716</v>
      </c>
      <c r="F144" s="30" t="s">
        <v>621</v>
      </c>
      <c r="G144" s="30" t="s">
        <v>624</v>
      </c>
      <c r="H144" s="30">
        <v>1.0986119999999999</v>
      </c>
      <c r="I144" s="30">
        <v>6.3491390000000001</v>
      </c>
      <c r="J144" s="30">
        <v>1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  <c r="AE144" s="30">
        <v>0</v>
      </c>
      <c r="AF144" s="30">
        <v>0</v>
      </c>
      <c r="AG144" s="30">
        <v>0</v>
      </c>
      <c r="AH144" s="30">
        <v>0</v>
      </c>
      <c r="AI144" s="30">
        <v>0</v>
      </c>
      <c r="AJ144" s="30">
        <v>0</v>
      </c>
      <c r="AK144" s="30">
        <v>0</v>
      </c>
      <c r="AL144" s="30">
        <v>1</v>
      </c>
      <c r="AM144" s="30">
        <v>0</v>
      </c>
      <c r="AN144" s="30">
        <v>0</v>
      </c>
      <c r="AO144" s="30">
        <v>0</v>
      </c>
      <c r="AP144" s="30">
        <v>0</v>
      </c>
      <c r="AQ144" s="30">
        <v>0</v>
      </c>
      <c r="AR144" s="30">
        <v>0</v>
      </c>
      <c r="AS144" s="30">
        <v>0</v>
      </c>
      <c r="AT144" s="30">
        <v>0</v>
      </c>
      <c r="AU144" s="30">
        <v>0</v>
      </c>
      <c r="AV144" s="30">
        <v>0</v>
      </c>
      <c r="AW144" s="30">
        <v>0</v>
      </c>
      <c r="AX144" s="30">
        <v>0</v>
      </c>
      <c r="AY144" s="30">
        <v>0</v>
      </c>
    </row>
    <row r="145" spans="1:51">
      <c r="A145" s="30" t="s">
        <v>619</v>
      </c>
      <c r="B145" s="30" t="s">
        <v>662</v>
      </c>
      <c r="C145" s="30">
        <v>4</v>
      </c>
      <c r="D145" s="30">
        <v>330</v>
      </c>
      <c r="E145" s="30">
        <v>1320</v>
      </c>
      <c r="F145" s="30" t="s">
        <v>626</v>
      </c>
      <c r="G145" s="30" t="s">
        <v>663</v>
      </c>
      <c r="H145" s="30">
        <v>1.3862939999999999</v>
      </c>
      <c r="I145" s="30">
        <v>5.7990930000000001</v>
      </c>
      <c r="J145" s="30">
        <v>1</v>
      </c>
      <c r="K145" s="30">
        <v>0</v>
      </c>
      <c r="L145" s="30">
        <v>0</v>
      </c>
      <c r="M145" s="30">
        <v>1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1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30">
        <v>0</v>
      </c>
      <c r="AG145" s="30">
        <v>0</v>
      </c>
      <c r="AH145" s="30">
        <v>0</v>
      </c>
      <c r="AI145" s="30">
        <v>0</v>
      </c>
      <c r="AJ145" s="30">
        <v>0</v>
      </c>
      <c r="AK145" s="30">
        <v>0</v>
      </c>
      <c r="AL145" s="30">
        <v>0</v>
      </c>
      <c r="AM145" s="30">
        <v>0</v>
      </c>
      <c r="AN145" s="30">
        <v>0</v>
      </c>
      <c r="AO145" s="30">
        <v>0</v>
      </c>
      <c r="AP145" s="30">
        <v>0</v>
      </c>
      <c r="AQ145" s="30">
        <v>0</v>
      </c>
      <c r="AR145" s="30">
        <v>0</v>
      </c>
      <c r="AS145" s="30">
        <v>0</v>
      </c>
      <c r="AT145" s="30">
        <v>0</v>
      </c>
      <c r="AU145" s="30">
        <v>0</v>
      </c>
      <c r="AV145" s="30">
        <v>0</v>
      </c>
      <c r="AW145" s="30">
        <v>0</v>
      </c>
      <c r="AX145" s="30">
        <v>0</v>
      </c>
      <c r="AY145" s="30">
        <v>0</v>
      </c>
    </row>
    <row r="146" spans="1:51">
      <c r="A146" s="30" t="s">
        <v>619</v>
      </c>
      <c r="B146" s="30" t="s">
        <v>664</v>
      </c>
      <c r="C146" s="30">
        <v>2</v>
      </c>
      <c r="D146" s="30">
        <v>34</v>
      </c>
      <c r="E146" s="30">
        <v>68</v>
      </c>
      <c r="F146" s="30" t="s">
        <v>626</v>
      </c>
      <c r="G146" s="30" t="s">
        <v>663</v>
      </c>
      <c r="H146" s="30">
        <v>0.69314699999999996</v>
      </c>
      <c r="I146" s="30">
        <v>3.5263610000000001</v>
      </c>
      <c r="J146" s="30">
        <v>1</v>
      </c>
      <c r="K146" s="30">
        <v>0</v>
      </c>
      <c r="L146" s="30">
        <v>0</v>
      </c>
      <c r="M146" s="30">
        <v>1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1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  <c r="AE146" s="30">
        <v>0</v>
      </c>
      <c r="AF146" s="30">
        <v>0</v>
      </c>
      <c r="AG146" s="30">
        <v>0</v>
      </c>
      <c r="AH146" s="30">
        <v>0</v>
      </c>
      <c r="AI146" s="30">
        <v>0</v>
      </c>
      <c r="AJ146" s="30">
        <v>0</v>
      </c>
      <c r="AK146" s="30">
        <v>0</v>
      </c>
      <c r="AL146" s="30">
        <v>0</v>
      </c>
      <c r="AM146" s="30">
        <v>0</v>
      </c>
      <c r="AN146" s="30">
        <v>0</v>
      </c>
      <c r="AO146" s="30">
        <v>0</v>
      </c>
      <c r="AP146" s="30">
        <v>0</v>
      </c>
      <c r="AQ146" s="30">
        <v>0</v>
      </c>
      <c r="AR146" s="30">
        <v>0</v>
      </c>
      <c r="AS146" s="30">
        <v>0</v>
      </c>
      <c r="AT146" s="30">
        <v>0</v>
      </c>
      <c r="AU146" s="30">
        <v>0</v>
      </c>
      <c r="AV146" s="30">
        <v>0</v>
      </c>
      <c r="AW146" s="30">
        <v>0</v>
      </c>
      <c r="AX146" s="30">
        <v>0</v>
      </c>
      <c r="AY146" s="30">
        <v>0</v>
      </c>
    </row>
    <row r="147" spans="1:51">
      <c r="A147" s="30" t="s">
        <v>619</v>
      </c>
      <c r="B147" s="30" t="s">
        <v>665</v>
      </c>
      <c r="C147" s="30">
        <v>3</v>
      </c>
      <c r="D147" s="30">
        <v>198</v>
      </c>
      <c r="E147" s="30">
        <v>594</v>
      </c>
      <c r="F147" s="30" t="s">
        <v>626</v>
      </c>
      <c r="G147" s="30" t="s">
        <v>663</v>
      </c>
      <c r="H147" s="30">
        <v>1.0986119999999999</v>
      </c>
      <c r="I147" s="30">
        <v>5.2882670000000003</v>
      </c>
      <c r="J147" s="30">
        <v>1</v>
      </c>
      <c r="K147" s="30">
        <v>0</v>
      </c>
      <c r="L147" s="30">
        <v>0</v>
      </c>
      <c r="M147" s="30">
        <v>1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1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30">
        <v>0</v>
      </c>
      <c r="AG147" s="30">
        <v>0</v>
      </c>
      <c r="AH147" s="30">
        <v>0</v>
      </c>
      <c r="AI147" s="30">
        <v>0</v>
      </c>
      <c r="AJ147" s="30">
        <v>0</v>
      </c>
      <c r="AK147" s="30">
        <v>0</v>
      </c>
      <c r="AL147" s="30">
        <v>0</v>
      </c>
      <c r="AM147" s="30">
        <v>0</v>
      </c>
      <c r="AN147" s="30">
        <v>0</v>
      </c>
      <c r="AO147" s="30">
        <v>0</v>
      </c>
      <c r="AP147" s="30">
        <v>0</v>
      </c>
      <c r="AQ147" s="30">
        <v>0</v>
      </c>
      <c r="AR147" s="30">
        <v>0</v>
      </c>
      <c r="AS147" s="30">
        <v>0</v>
      </c>
      <c r="AT147" s="30">
        <v>0</v>
      </c>
      <c r="AU147" s="30">
        <v>0</v>
      </c>
      <c r="AV147" s="30">
        <v>0</v>
      </c>
      <c r="AW147" s="30">
        <v>0</v>
      </c>
      <c r="AX147" s="30">
        <v>0</v>
      </c>
      <c r="AY147" s="30">
        <v>0</v>
      </c>
    </row>
    <row r="148" spans="1:51">
      <c r="A148" s="30" t="s">
        <v>619</v>
      </c>
      <c r="B148" s="30" t="s">
        <v>666</v>
      </c>
      <c r="C148" s="30">
        <v>3</v>
      </c>
      <c r="D148" s="30">
        <v>300</v>
      </c>
      <c r="E148" s="30">
        <v>816</v>
      </c>
      <c r="F148" s="30" t="s">
        <v>626</v>
      </c>
      <c r="G148" s="30" t="s">
        <v>663</v>
      </c>
      <c r="H148" s="30">
        <v>1.0986119999999999</v>
      </c>
      <c r="I148" s="30">
        <v>5.7037820000000004</v>
      </c>
      <c r="J148" s="30">
        <v>1</v>
      </c>
      <c r="K148" s="30">
        <v>0</v>
      </c>
      <c r="L148" s="30">
        <v>0</v>
      </c>
      <c r="M148" s="30">
        <v>1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1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30">
        <v>0</v>
      </c>
      <c r="AG148" s="30">
        <v>0</v>
      </c>
      <c r="AH148" s="30">
        <v>0</v>
      </c>
      <c r="AI148" s="30">
        <v>0</v>
      </c>
      <c r="AJ148" s="30">
        <v>0</v>
      </c>
      <c r="AK148" s="30">
        <v>0</v>
      </c>
      <c r="AL148" s="30">
        <v>0</v>
      </c>
      <c r="AM148" s="30">
        <v>0</v>
      </c>
      <c r="AN148" s="30">
        <v>0</v>
      </c>
      <c r="AO148" s="30">
        <v>0</v>
      </c>
      <c r="AP148" s="30">
        <v>0</v>
      </c>
      <c r="AQ148" s="30">
        <v>0</v>
      </c>
      <c r="AR148" s="30">
        <v>0</v>
      </c>
      <c r="AS148" s="30">
        <v>0</v>
      </c>
      <c r="AT148" s="30">
        <v>0</v>
      </c>
      <c r="AU148" s="30">
        <v>0</v>
      </c>
      <c r="AV148" s="30">
        <v>0</v>
      </c>
      <c r="AW148" s="30">
        <v>0</v>
      </c>
      <c r="AX148" s="30">
        <v>0</v>
      </c>
      <c r="AY148" s="30">
        <v>0</v>
      </c>
    </row>
    <row r="149" spans="1:51">
      <c r="A149" s="30" t="s">
        <v>619</v>
      </c>
      <c r="B149" s="30" t="s">
        <v>667</v>
      </c>
      <c r="C149" s="30">
        <v>0.5</v>
      </c>
      <c r="D149" s="30">
        <v>34</v>
      </c>
      <c r="E149" s="30">
        <v>17</v>
      </c>
      <c r="F149" s="30" t="s">
        <v>626</v>
      </c>
      <c r="G149" s="30" t="s">
        <v>663</v>
      </c>
      <c r="H149" s="30">
        <v>-0.69315000000000004</v>
      </c>
      <c r="I149" s="30">
        <v>3.5263610000000001</v>
      </c>
      <c r="J149" s="30">
        <v>1</v>
      </c>
      <c r="K149" s="30">
        <v>0</v>
      </c>
      <c r="L149" s="30">
        <v>0</v>
      </c>
      <c r="M149" s="30">
        <v>1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1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30">
        <v>0</v>
      </c>
      <c r="AG149" s="30">
        <v>0</v>
      </c>
      <c r="AH149" s="30">
        <v>0</v>
      </c>
      <c r="AI149" s="30">
        <v>0</v>
      </c>
      <c r="AJ149" s="30">
        <v>0</v>
      </c>
      <c r="AK149" s="30">
        <v>0</v>
      </c>
      <c r="AL149" s="30">
        <v>0</v>
      </c>
      <c r="AM149" s="30">
        <v>0</v>
      </c>
      <c r="AN149" s="30">
        <v>0</v>
      </c>
      <c r="AO149" s="30">
        <v>0</v>
      </c>
      <c r="AP149" s="30">
        <v>0</v>
      </c>
      <c r="AQ149" s="30">
        <v>0</v>
      </c>
      <c r="AR149" s="30">
        <v>0</v>
      </c>
      <c r="AS149" s="30">
        <v>0</v>
      </c>
      <c r="AT149" s="30">
        <v>0</v>
      </c>
      <c r="AU149" s="30">
        <v>0</v>
      </c>
      <c r="AV149" s="30">
        <v>0</v>
      </c>
      <c r="AW149" s="30">
        <v>0</v>
      </c>
      <c r="AX149" s="30">
        <v>0</v>
      </c>
      <c r="AY149" s="30">
        <v>0</v>
      </c>
    </row>
    <row r="150" spans="1:51">
      <c r="A150" s="30" t="s">
        <v>619</v>
      </c>
      <c r="B150" s="30" t="s">
        <v>668</v>
      </c>
      <c r="C150" s="30">
        <v>1.5</v>
      </c>
      <c r="D150" s="30">
        <v>278</v>
      </c>
      <c r="E150" s="30">
        <v>317.7</v>
      </c>
      <c r="F150" s="30" t="s">
        <v>626</v>
      </c>
      <c r="G150" s="30" t="s">
        <v>663</v>
      </c>
      <c r="H150" s="30">
        <v>0.40546500000000002</v>
      </c>
      <c r="I150" s="30">
        <v>5.6276210000000004</v>
      </c>
      <c r="J150" s="30">
        <v>1</v>
      </c>
      <c r="K150" s="30">
        <v>0</v>
      </c>
      <c r="L150" s="30">
        <v>0</v>
      </c>
      <c r="M150" s="30">
        <v>1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1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30">
        <v>0</v>
      </c>
      <c r="AG150" s="30">
        <v>0</v>
      </c>
      <c r="AH150" s="30">
        <v>0</v>
      </c>
      <c r="AI150" s="30">
        <v>0</v>
      </c>
      <c r="AJ150" s="30">
        <v>0</v>
      </c>
      <c r="AK150" s="30">
        <v>0</v>
      </c>
      <c r="AL150" s="30">
        <v>0</v>
      </c>
      <c r="AM150" s="30">
        <v>0</v>
      </c>
      <c r="AN150" s="30">
        <v>0</v>
      </c>
      <c r="AO150" s="30">
        <v>0</v>
      </c>
      <c r="AP150" s="30">
        <v>0</v>
      </c>
      <c r="AQ150" s="30">
        <v>0</v>
      </c>
      <c r="AR150" s="30">
        <v>0</v>
      </c>
      <c r="AS150" s="30">
        <v>0</v>
      </c>
      <c r="AT150" s="30">
        <v>0</v>
      </c>
      <c r="AU150" s="30">
        <v>0</v>
      </c>
      <c r="AV150" s="30">
        <v>0</v>
      </c>
      <c r="AW150" s="30">
        <v>0</v>
      </c>
      <c r="AX150" s="30">
        <v>0</v>
      </c>
      <c r="AY150" s="30">
        <v>0</v>
      </c>
    </row>
    <row r="151" spans="1:51">
      <c r="A151" s="30" t="s">
        <v>619</v>
      </c>
      <c r="B151" s="30" t="s">
        <v>669</v>
      </c>
      <c r="C151" s="30">
        <v>3</v>
      </c>
      <c r="D151" s="30">
        <v>100</v>
      </c>
      <c r="E151" s="30">
        <v>295.2</v>
      </c>
      <c r="F151" s="30" t="s">
        <v>626</v>
      </c>
      <c r="G151" s="30" t="s">
        <v>663</v>
      </c>
      <c r="H151" s="30">
        <v>1.0986119999999999</v>
      </c>
      <c r="I151" s="30">
        <v>4.6051700000000002</v>
      </c>
      <c r="J151" s="30">
        <v>1</v>
      </c>
      <c r="K151" s="30">
        <v>0</v>
      </c>
      <c r="L151" s="30">
        <v>0</v>
      </c>
      <c r="M151" s="30">
        <v>1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1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30">
        <v>0</v>
      </c>
      <c r="AG151" s="30">
        <v>0</v>
      </c>
      <c r="AH151" s="30">
        <v>0</v>
      </c>
      <c r="AI151" s="30">
        <v>0</v>
      </c>
      <c r="AJ151" s="30">
        <v>0</v>
      </c>
      <c r="AK151" s="30">
        <v>0</v>
      </c>
      <c r="AL151" s="30">
        <v>0</v>
      </c>
      <c r="AM151" s="30">
        <v>0</v>
      </c>
      <c r="AN151" s="30">
        <v>0</v>
      </c>
      <c r="AO151" s="30">
        <v>0</v>
      </c>
      <c r="AP151" s="30">
        <v>0</v>
      </c>
      <c r="AQ151" s="30">
        <v>0</v>
      </c>
      <c r="AR151" s="30">
        <v>0</v>
      </c>
      <c r="AS151" s="30">
        <v>0</v>
      </c>
      <c r="AT151" s="30">
        <v>0</v>
      </c>
      <c r="AU151" s="30">
        <v>0</v>
      </c>
      <c r="AV151" s="30">
        <v>0</v>
      </c>
      <c r="AW151" s="30">
        <v>0</v>
      </c>
      <c r="AX151" s="30">
        <v>0</v>
      </c>
      <c r="AY151" s="30">
        <v>0</v>
      </c>
    </row>
    <row r="152" spans="1:51">
      <c r="A152" s="30" t="s">
        <v>619</v>
      </c>
      <c r="B152" s="30" t="s">
        <v>670</v>
      </c>
      <c r="C152" s="30">
        <v>4</v>
      </c>
      <c r="D152" s="30">
        <v>1</v>
      </c>
      <c r="E152" s="30">
        <v>4</v>
      </c>
      <c r="F152" s="30" t="s">
        <v>626</v>
      </c>
      <c r="G152" s="30" t="s">
        <v>663</v>
      </c>
      <c r="H152" s="30">
        <v>1.3862939999999999</v>
      </c>
      <c r="I152" s="30">
        <v>0</v>
      </c>
      <c r="J152" s="30">
        <v>1</v>
      </c>
      <c r="K152" s="30">
        <v>0</v>
      </c>
      <c r="L152" s="30">
        <v>0</v>
      </c>
      <c r="M152" s="30">
        <v>1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1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30">
        <v>0</v>
      </c>
      <c r="AG152" s="30">
        <v>0</v>
      </c>
      <c r="AH152" s="30">
        <v>0</v>
      </c>
      <c r="AI152" s="30">
        <v>0</v>
      </c>
      <c r="AJ152" s="30">
        <v>0</v>
      </c>
      <c r="AK152" s="30">
        <v>0</v>
      </c>
      <c r="AL152" s="30">
        <v>0</v>
      </c>
      <c r="AM152" s="30">
        <v>0</v>
      </c>
      <c r="AN152" s="30">
        <v>0</v>
      </c>
      <c r="AO152" s="30">
        <v>0</v>
      </c>
      <c r="AP152" s="30">
        <v>0</v>
      </c>
      <c r="AQ152" s="30">
        <v>0</v>
      </c>
      <c r="AR152" s="30">
        <v>0</v>
      </c>
      <c r="AS152" s="30">
        <v>0</v>
      </c>
      <c r="AT152" s="30">
        <v>0</v>
      </c>
      <c r="AU152" s="30">
        <v>0</v>
      </c>
      <c r="AV152" s="30">
        <v>0</v>
      </c>
      <c r="AW152" s="30">
        <v>0</v>
      </c>
      <c r="AX152" s="30">
        <v>0</v>
      </c>
      <c r="AY152" s="30">
        <v>0</v>
      </c>
    </row>
    <row r="153" spans="1:51">
      <c r="A153" s="30" t="s">
        <v>619</v>
      </c>
      <c r="B153" s="30" t="s">
        <v>671</v>
      </c>
      <c r="C153" s="30">
        <v>3</v>
      </c>
      <c r="D153" s="30">
        <v>77</v>
      </c>
      <c r="E153" s="30">
        <v>216</v>
      </c>
      <c r="F153" s="30" t="s">
        <v>626</v>
      </c>
      <c r="G153" s="30" t="s">
        <v>663</v>
      </c>
      <c r="H153" s="30">
        <v>1.0986119999999999</v>
      </c>
      <c r="I153" s="30">
        <v>4.3438049999999997</v>
      </c>
      <c r="J153" s="30">
        <v>1</v>
      </c>
      <c r="K153" s="30">
        <v>0</v>
      </c>
      <c r="L153" s="30">
        <v>0</v>
      </c>
      <c r="M153" s="30">
        <v>1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1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30">
        <v>0</v>
      </c>
      <c r="AG153" s="30">
        <v>0</v>
      </c>
      <c r="AH153" s="30">
        <v>0</v>
      </c>
      <c r="AI153" s="30">
        <v>0</v>
      </c>
      <c r="AJ153" s="30">
        <v>0</v>
      </c>
      <c r="AK153" s="30">
        <v>0</v>
      </c>
      <c r="AL153" s="30">
        <v>0</v>
      </c>
      <c r="AM153" s="30">
        <v>0</v>
      </c>
      <c r="AN153" s="30">
        <v>0</v>
      </c>
      <c r="AO153" s="30">
        <v>0</v>
      </c>
      <c r="AP153" s="30">
        <v>0</v>
      </c>
      <c r="AQ153" s="30">
        <v>0</v>
      </c>
      <c r="AR153" s="30">
        <v>0</v>
      </c>
      <c r="AS153" s="30">
        <v>0</v>
      </c>
      <c r="AT153" s="30">
        <v>0</v>
      </c>
      <c r="AU153" s="30">
        <v>0</v>
      </c>
      <c r="AV153" s="30">
        <v>0</v>
      </c>
      <c r="AW153" s="30">
        <v>0</v>
      </c>
      <c r="AX153" s="30">
        <v>0</v>
      </c>
      <c r="AY153" s="30">
        <v>0</v>
      </c>
    </row>
    <row r="154" spans="1:51">
      <c r="A154" s="30" t="s">
        <v>619</v>
      </c>
      <c r="B154" s="30" t="s">
        <v>672</v>
      </c>
      <c r="C154" s="30">
        <v>3</v>
      </c>
      <c r="D154" s="30">
        <v>263</v>
      </c>
      <c r="E154" s="30">
        <v>739.2</v>
      </c>
      <c r="F154" s="30" t="s">
        <v>626</v>
      </c>
      <c r="G154" s="30" t="s">
        <v>663</v>
      </c>
      <c r="H154" s="30">
        <v>1.0986119999999999</v>
      </c>
      <c r="I154" s="30">
        <v>5.5721540000000003</v>
      </c>
      <c r="J154" s="30">
        <v>1</v>
      </c>
      <c r="K154" s="30">
        <v>0</v>
      </c>
      <c r="L154" s="30">
        <v>0</v>
      </c>
      <c r="M154" s="30">
        <v>1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1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30">
        <v>0</v>
      </c>
      <c r="AG154" s="30">
        <v>0</v>
      </c>
      <c r="AH154" s="30">
        <v>0</v>
      </c>
      <c r="AI154" s="30">
        <v>0</v>
      </c>
      <c r="AJ154" s="30">
        <v>0</v>
      </c>
      <c r="AK154" s="30">
        <v>0</v>
      </c>
      <c r="AL154" s="30">
        <v>0</v>
      </c>
      <c r="AM154" s="30">
        <v>0</v>
      </c>
      <c r="AN154" s="30">
        <v>0</v>
      </c>
      <c r="AO154" s="30">
        <v>0</v>
      </c>
      <c r="AP154" s="30">
        <v>0</v>
      </c>
      <c r="AQ154" s="30">
        <v>0</v>
      </c>
      <c r="AR154" s="30">
        <v>0</v>
      </c>
      <c r="AS154" s="30">
        <v>0</v>
      </c>
      <c r="AT154" s="30">
        <v>0</v>
      </c>
      <c r="AU154" s="30">
        <v>0</v>
      </c>
      <c r="AV154" s="30">
        <v>0</v>
      </c>
      <c r="AW154" s="30">
        <v>0</v>
      </c>
      <c r="AX154" s="30">
        <v>0</v>
      </c>
      <c r="AY154" s="30">
        <v>0</v>
      </c>
    </row>
    <row r="155" spans="1:51">
      <c r="A155" s="30" t="s">
        <v>619</v>
      </c>
      <c r="B155" s="30" t="s">
        <v>673</v>
      </c>
      <c r="C155" s="30">
        <v>3</v>
      </c>
      <c r="D155" s="30">
        <v>77</v>
      </c>
      <c r="E155" s="30">
        <v>170.4</v>
      </c>
      <c r="F155" s="30" t="s">
        <v>626</v>
      </c>
      <c r="G155" s="30" t="s">
        <v>663</v>
      </c>
      <c r="H155" s="30">
        <v>1.0986119999999999</v>
      </c>
      <c r="I155" s="30">
        <v>4.3438049999999997</v>
      </c>
      <c r="J155" s="30">
        <v>1</v>
      </c>
      <c r="K155" s="30">
        <v>0</v>
      </c>
      <c r="L155" s="30">
        <v>0</v>
      </c>
      <c r="M155" s="30">
        <v>1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1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30">
        <v>0</v>
      </c>
      <c r="AG155" s="30">
        <v>0</v>
      </c>
      <c r="AH155" s="30">
        <v>0</v>
      </c>
      <c r="AI155" s="30">
        <v>0</v>
      </c>
      <c r="AJ155" s="30">
        <v>0</v>
      </c>
      <c r="AK155" s="30">
        <v>0</v>
      </c>
      <c r="AL155" s="30">
        <v>0</v>
      </c>
      <c r="AM155" s="30">
        <v>0</v>
      </c>
      <c r="AN155" s="30">
        <v>0</v>
      </c>
      <c r="AO155" s="30">
        <v>0</v>
      </c>
      <c r="AP155" s="30">
        <v>0</v>
      </c>
      <c r="AQ155" s="30">
        <v>0</v>
      </c>
      <c r="AR155" s="30">
        <v>0</v>
      </c>
      <c r="AS155" s="30">
        <v>0</v>
      </c>
      <c r="AT155" s="30">
        <v>0</v>
      </c>
      <c r="AU155" s="30">
        <v>0</v>
      </c>
      <c r="AV155" s="30">
        <v>0</v>
      </c>
      <c r="AW155" s="30">
        <v>0</v>
      </c>
      <c r="AX155" s="30">
        <v>0</v>
      </c>
      <c r="AY155" s="30">
        <v>0</v>
      </c>
    </row>
    <row r="156" spans="1:51">
      <c r="A156" s="30" t="s">
        <v>619</v>
      </c>
      <c r="B156" s="30" t="s">
        <v>674</v>
      </c>
      <c r="C156" s="30">
        <v>3</v>
      </c>
      <c r="D156" s="30">
        <v>81</v>
      </c>
      <c r="E156" s="30">
        <v>171</v>
      </c>
      <c r="F156" s="30" t="s">
        <v>626</v>
      </c>
      <c r="G156" s="30" t="s">
        <v>663</v>
      </c>
      <c r="H156" s="30">
        <v>1.0986119999999999</v>
      </c>
      <c r="I156" s="30">
        <v>4.3944489999999998</v>
      </c>
      <c r="J156" s="30">
        <v>1</v>
      </c>
      <c r="K156" s="30">
        <v>0</v>
      </c>
      <c r="L156" s="30">
        <v>0</v>
      </c>
      <c r="M156" s="30">
        <v>1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1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30">
        <v>0</v>
      </c>
      <c r="AG156" s="30">
        <v>0</v>
      </c>
      <c r="AH156" s="30">
        <v>0</v>
      </c>
      <c r="AI156" s="30">
        <v>0</v>
      </c>
      <c r="AJ156" s="30">
        <v>0</v>
      </c>
      <c r="AK156" s="30">
        <v>0</v>
      </c>
      <c r="AL156" s="30">
        <v>0</v>
      </c>
      <c r="AM156" s="30">
        <v>0</v>
      </c>
      <c r="AN156" s="30">
        <v>0</v>
      </c>
      <c r="AO156" s="30">
        <v>0</v>
      </c>
      <c r="AP156" s="30">
        <v>0</v>
      </c>
      <c r="AQ156" s="30">
        <v>0</v>
      </c>
      <c r="AR156" s="30">
        <v>0</v>
      </c>
      <c r="AS156" s="30">
        <v>0</v>
      </c>
      <c r="AT156" s="30">
        <v>0</v>
      </c>
      <c r="AU156" s="30">
        <v>0</v>
      </c>
      <c r="AV156" s="30">
        <v>0</v>
      </c>
      <c r="AW156" s="30">
        <v>0</v>
      </c>
      <c r="AX156" s="30">
        <v>0</v>
      </c>
      <c r="AY156" s="30">
        <v>0</v>
      </c>
    </row>
    <row r="157" spans="1:51">
      <c r="A157" s="30" t="s">
        <v>619</v>
      </c>
      <c r="B157" s="30" t="s">
        <v>675</v>
      </c>
      <c r="C157" s="30">
        <v>3</v>
      </c>
      <c r="D157" s="30">
        <v>91</v>
      </c>
      <c r="E157" s="30">
        <v>225</v>
      </c>
      <c r="F157" s="30" t="s">
        <v>626</v>
      </c>
      <c r="G157" s="30" t="s">
        <v>663</v>
      </c>
      <c r="H157" s="30">
        <v>1.0986119999999999</v>
      </c>
      <c r="I157" s="30">
        <v>4.5108600000000001</v>
      </c>
      <c r="J157" s="30">
        <v>1</v>
      </c>
      <c r="K157" s="30">
        <v>0</v>
      </c>
      <c r="L157" s="30">
        <v>0</v>
      </c>
      <c r="M157" s="30">
        <v>1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1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30">
        <v>0</v>
      </c>
      <c r="AE157" s="30">
        <v>0</v>
      </c>
      <c r="AF157" s="30">
        <v>0</v>
      </c>
      <c r="AG157" s="30">
        <v>0</v>
      </c>
      <c r="AH157" s="30">
        <v>0</v>
      </c>
      <c r="AI157" s="30">
        <v>0</v>
      </c>
      <c r="AJ157" s="30">
        <v>0</v>
      </c>
      <c r="AK157" s="30">
        <v>0</v>
      </c>
      <c r="AL157" s="30">
        <v>0</v>
      </c>
      <c r="AM157" s="30">
        <v>0</v>
      </c>
      <c r="AN157" s="30">
        <v>0</v>
      </c>
      <c r="AO157" s="30">
        <v>0</v>
      </c>
      <c r="AP157" s="30">
        <v>0</v>
      </c>
      <c r="AQ157" s="30">
        <v>0</v>
      </c>
      <c r="AR157" s="30">
        <v>0</v>
      </c>
      <c r="AS157" s="30">
        <v>0</v>
      </c>
      <c r="AT157" s="30">
        <v>0</v>
      </c>
      <c r="AU157" s="30">
        <v>0</v>
      </c>
      <c r="AV157" s="30">
        <v>0</v>
      </c>
      <c r="AW157" s="30">
        <v>0</v>
      </c>
      <c r="AX157" s="30">
        <v>0</v>
      </c>
      <c r="AY157" s="30">
        <v>0</v>
      </c>
    </row>
    <row r="158" spans="1:51">
      <c r="A158" s="30" t="s">
        <v>619</v>
      </c>
      <c r="B158" s="30" t="s">
        <v>676</v>
      </c>
      <c r="C158" s="30">
        <v>4</v>
      </c>
      <c r="D158" s="30">
        <v>972</v>
      </c>
      <c r="E158" s="30">
        <v>2862.4</v>
      </c>
      <c r="F158" s="30" t="s">
        <v>626</v>
      </c>
      <c r="G158" s="30" t="s">
        <v>663</v>
      </c>
      <c r="H158" s="30">
        <v>1.3862939999999999</v>
      </c>
      <c r="I158" s="30">
        <v>6.8793559999999996</v>
      </c>
      <c r="J158" s="30">
        <v>1</v>
      </c>
      <c r="K158" s="30">
        <v>0</v>
      </c>
      <c r="L158" s="30">
        <v>0</v>
      </c>
      <c r="M158" s="30">
        <v>1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1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30">
        <v>0</v>
      </c>
      <c r="AG158" s="30">
        <v>0</v>
      </c>
      <c r="AH158" s="30">
        <v>0</v>
      </c>
      <c r="AI158" s="30">
        <v>0</v>
      </c>
      <c r="AJ158" s="30">
        <v>0</v>
      </c>
      <c r="AK158" s="30">
        <v>0</v>
      </c>
      <c r="AL158" s="30">
        <v>0</v>
      </c>
      <c r="AM158" s="30">
        <v>0</v>
      </c>
      <c r="AN158" s="30">
        <v>0</v>
      </c>
      <c r="AO158" s="30">
        <v>0</v>
      </c>
      <c r="AP158" s="30">
        <v>0</v>
      </c>
      <c r="AQ158" s="30">
        <v>0</v>
      </c>
      <c r="AR158" s="30">
        <v>0</v>
      </c>
      <c r="AS158" s="30">
        <v>0</v>
      </c>
      <c r="AT158" s="30">
        <v>0</v>
      </c>
      <c r="AU158" s="30">
        <v>0</v>
      </c>
      <c r="AV158" s="30">
        <v>0</v>
      </c>
      <c r="AW158" s="30">
        <v>0</v>
      </c>
      <c r="AX158" s="30">
        <v>0</v>
      </c>
      <c r="AY158" s="30">
        <v>0</v>
      </c>
    </row>
    <row r="159" spans="1:51">
      <c r="A159" s="30" t="s">
        <v>619</v>
      </c>
      <c r="B159" s="30" t="s">
        <v>677</v>
      </c>
      <c r="C159" s="30">
        <v>2</v>
      </c>
      <c r="D159" s="30">
        <v>212</v>
      </c>
      <c r="E159" s="30">
        <v>168</v>
      </c>
      <c r="F159" s="30" t="s">
        <v>626</v>
      </c>
      <c r="G159" s="30" t="s">
        <v>663</v>
      </c>
      <c r="H159" s="30">
        <v>0.69314699999999996</v>
      </c>
      <c r="I159" s="30">
        <v>5.3565860000000001</v>
      </c>
      <c r="J159" s="30">
        <v>1</v>
      </c>
      <c r="K159" s="30">
        <v>0</v>
      </c>
      <c r="L159" s="30">
        <v>0</v>
      </c>
      <c r="M159" s="30">
        <v>1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1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30">
        <v>0</v>
      </c>
      <c r="AG159" s="30">
        <v>0</v>
      </c>
      <c r="AH159" s="30">
        <v>0</v>
      </c>
      <c r="AI159" s="30">
        <v>0</v>
      </c>
      <c r="AJ159" s="30">
        <v>0</v>
      </c>
      <c r="AK159" s="30">
        <v>0</v>
      </c>
      <c r="AL159" s="30">
        <v>0</v>
      </c>
      <c r="AM159" s="30">
        <v>0</v>
      </c>
      <c r="AN159" s="30">
        <v>0</v>
      </c>
      <c r="AO159" s="30">
        <v>0</v>
      </c>
      <c r="AP159" s="30">
        <v>0</v>
      </c>
      <c r="AQ159" s="30">
        <v>0</v>
      </c>
      <c r="AR159" s="30">
        <v>0</v>
      </c>
      <c r="AS159" s="30">
        <v>0</v>
      </c>
      <c r="AT159" s="30">
        <v>0</v>
      </c>
      <c r="AU159" s="30">
        <v>0</v>
      </c>
      <c r="AV159" s="30">
        <v>0</v>
      </c>
      <c r="AW159" s="30">
        <v>0</v>
      </c>
      <c r="AX159" s="30">
        <v>0</v>
      </c>
      <c r="AY159" s="30">
        <v>0</v>
      </c>
    </row>
    <row r="160" spans="1:51">
      <c r="A160" s="30" t="s">
        <v>619</v>
      </c>
      <c r="B160" s="30" t="s">
        <v>678</v>
      </c>
      <c r="C160" s="30">
        <v>4</v>
      </c>
      <c r="D160" s="30">
        <v>210</v>
      </c>
      <c r="E160" s="30">
        <v>749.6</v>
      </c>
      <c r="F160" s="30" t="s">
        <v>626</v>
      </c>
      <c r="G160" s="30" t="s">
        <v>663</v>
      </c>
      <c r="H160" s="30">
        <v>1.3862939999999999</v>
      </c>
      <c r="I160" s="30">
        <v>5.3471080000000004</v>
      </c>
      <c r="J160" s="30">
        <v>1</v>
      </c>
      <c r="K160" s="30">
        <v>0</v>
      </c>
      <c r="L160" s="30">
        <v>0</v>
      </c>
      <c r="M160" s="30">
        <v>1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1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  <c r="AE160" s="30">
        <v>0</v>
      </c>
      <c r="AF160" s="30">
        <v>0</v>
      </c>
      <c r="AG160" s="30">
        <v>0</v>
      </c>
      <c r="AH160" s="30">
        <v>0</v>
      </c>
      <c r="AI160" s="30">
        <v>0</v>
      </c>
      <c r="AJ160" s="30">
        <v>0</v>
      </c>
      <c r="AK160" s="30">
        <v>0</v>
      </c>
      <c r="AL160" s="30">
        <v>0</v>
      </c>
      <c r="AM160" s="30">
        <v>0</v>
      </c>
      <c r="AN160" s="30">
        <v>0</v>
      </c>
      <c r="AO160" s="30">
        <v>0</v>
      </c>
      <c r="AP160" s="30">
        <v>0</v>
      </c>
      <c r="AQ160" s="30">
        <v>0</v>
      </c>
      <c r="AR160" s="30">
        <v>0</v>
      </c>
      <c r="AS160" s="30">
        <v>0</v>
      </c>
      <c r="AT160" s="30">
        <v>0</v>
      </c>
      <c r="AU160" s="30">
        <v>0</v>
      </c>
      <c r="AV160" s="30">
        <v>0</v>
      </c>
      <c r="AW160" s="30">
        <v>0</v>
      </c>
      <c r="AX160" s="30">
        <v>0</v>
      </c>
      <c r="AY160" s="30">
        <v>0</v>
      </c>
    </row>
    <row r="161" spans="1:51">
      <c r="A161" s="30" t="s">
        <v>619</v>
      </c>
      <c r="B161" s="30" t="s">
        <v>679</v>
      </c>
      <c r="C161" s="30">
        <v>2</v>
      </c>
      <c r="D161" s="30">
        <v>246</v>
      </c>
      <c r="E161" s="30">
        <v>269.60000000000002</v>
      </c>
      <c r="F161" s="30" t="s">
        <v>626</v>
      </c>
      <c r="G161" s="30" t="s">
        <v>663</v>
      </c>
      <c r="H161" s="30">
        <v>0.69314699999999996</v>
      </c>
      <c r="I161" s="30">
        <v>5.5053320000000001</v>
      </c>
      <c r="J161" s="30">
        <v>1</v>
      </c>
      <c r="K161" s="30">
        <v>0</v>
      </c>
      <c r="L161" s="30">
        <v>0</v>
      </c>
      <c r="M161" s="30">
        <v>1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1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30">
        <v>0</v>
      </c>
      <c r="AG161" s="30">
        <v>0</v>
      </c>
      <c r="AH161" s="30">
        <v>0</v>
      </c>
      <c r="AI161" s="30">
        <v>0</v>
      </c>
      <c r="AJ161" s="30">
        <v>0</v>
      </c>
      <c r="AK161" s="30">
        <v>0</v>
      </c>
      <c r="AL161" s="30">
        <v>0</v>
      </c>
      <c r="AM161" s="30">
        <v>0</v>
      </c>
      <c r="AN161" s="30">
        <v>0</v>
      </c>
      <c r="AO161" s="30">
        <v>0</v>
      </c>
      <c r="AP161" s="30">
        <v>0</v>
      </c>
      <c r="AQ161" s="30">
        <v>0</v>
      </c>
      <c r="AR161" s="30">
        <v>0</v>
      </c>
      <c r="AS161" s="30">
        <v>0</v>
      </c>
      <c r="AT161" s="30">
        <v>0</v>
      </c>
      <c r="AU161" s="30">
        <v>0</v>
      </c>
      <c r="AV161" s="30">
        <v>0</v>
      </c>
      <c r="AW161" s="30">
        <v>0</v>
      </c>
      <c r="AX161" s="30">
        <v>0</v>
      </c>
      <c r="AY161" s="30">
        <v>0</v>
      </c>
    </row>
    <row r="162" spans="1:51">
      <c r="A162" s="30" t="s">
        <v>619</v>
      </c>
      <c r="B162" s="30" t="s">
        <v>680</v>
      </c>
      <c r="C162" s="30">
        <v>4</v>
      </c>
      <c r="D162" s="30">
        <v>701</v>
      </c>
      <c r="E162" s="30">
        <v>1884</v>
      </c>
      <c r="F162" s="30" t="s">
        <v>626</v>
      </c>
      <c r="G162" s="30" t="s">
        <v>663</v>
      </c>
      <c r="H162" s="30">
        <v>1.3862939999999999</v>
      </c>
      <c r="I162" s="30">
        <v>6.5525080000000004</v>
      </c>
      <c r="J162" s="30">
        <v>1</v>
      </c>
      <c r="K162" s="30">
        <v>0</v>
      </c>
      <c r="L162" s="30">
        <v>0</v>
      </c>
      <c r="M162" s="30">
        <v>1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1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30">
        <v>0</v>
      </c>
      <c r="AG162" s="30">
        <v>0</v>
      </c>
      <c r="AH162" s="30">
        <v>0</v>
      </c>
      <c r="AI162" s="30">
        <v>0</v>
      </c>
      <c r="AJ162" s="30">
        <v>0</v>
      </c>
      <c r="AK162" s="30">
        <v>0</v>
      </c>
      <c r="AL162" s="30">
        <v>0</v>
      </c>
      <c r="AM162" s="30">
        <v>0</v>
      </c>
      <c r="AN162" s="30">
        <v>0</v>
      </c>
      <c r="AO162" s="30">
        <v>0</v>
      </c>
      <c r="AP162" s="30">
        <v>0</v>
      </c>
      <c r="AQ162" s="30">
        <v>0</v>
      </c>
      <c r="AR162" s="30">
        <v>0</v>
      </c>
      <c r="AS162" s="30">
        <v>0</v>
      </c>
      <c r="AT162" s="30">
        <v>0</v>
      </c>
      <c r="AU162" s="30">
        <v>0</v>
      </c>
      <c r="AV162" s="30">
        <v>0</v>
      </c>
      <c r="AW162" s="30">
        <v>0</v>
      </c>
      <c r="AX162" s="30">
        <v>0</v>
      </c>
      <c r="AY162" s="30">
        <v>0</v>
      </c>
    </row>
    <row r="163" spans="1:51">
      <c r="A163" s="30" t="s">
        <v>619</v>
      </c>
      <c r="B163" s="30" t="s">
        <v>681</v>
      </c>
      <c r="C163" s="30">
        <v>2</v>
      </c>
      <c r="D163" s="30">
        <v>200</v>
      </c>
      <c r="E163" s="30">
        <v>148</v>
      </c>
      <c r="F163" s="30" t="s">
        <v>626</v>
      </c>
      <c r="G163" s="30" t="s">
        <v>663</v>
      </c>
      <c r="H163" s="30">
        <v>0.69314699999999996</v>
      </c>
      <c r="I163" s="30">
        <v>5.2983169999999999</v>
      </c>
      <c r="J163" s="30">
        <v>1</v>
      </c>
      <c r="K163" s="30">
        <v>0</v>
      </c>
      <c r="L163" s="30">
        <v>0</v>
      </c>
      <c r="M163" s="30">
        <v>1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1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30">
        <v>0</v>
      </c>
      <c r="AG163" s="30">
        <v>0</v>
      </c>
      <c r="AH163" s="30">
        <v>0</v>
      </c>
      <c r="AI163" s="30">
        <v>0</v>
      </c>
      <c r="AJ163" s="30">
        <v>0</v>
      </c>
      <c r="AK163" s="30">
        <v>0</v>
      </c>
      <c r="AL163" s="30">
        <v>0</v>
      </c>
      <c r="AM163" s="30">
        <v>0</v>
      </c>
      <c r="AN163" s="30">
        <v>0</v>
      </c>
      <c r="AO163" s="30">
        <v>0</v>
      </c>
      <c r="AP163" s="30">
        <v>0</v>
      </c>
      <c r="AQ163" s="30">
        <v>0</v>
      </c>
      <c r="AR163" s="30">
        <v>0</v>
      </c>
      <c r="AS163" s="30">
        <v>0</v>
      </c>
      <c r="AT163" s="30">
        <v>0</v>
      </c>
      <c r="AU163" s="30">
        <v>0</v>
      </c>
      <c r="AV163" s="30">
        <v>0</v>
      </c>
      <c r="AW163" s="30">
        <v>0</v>
      </c>
      <c r="AX163" s="30">
        <v>0</v>
      </c>
      <c r="AY163" s="30">
        <v>0</v>
      </c>
    </row>
    <row r="164" spans="1:51">
      <c r="A164" s="30" t="s">
        <v>619</v>
      </c>
      <c r="B164" s="30" t="s">
        <v>682</v>
      </c>
      <c r="C164" s="30">
        <v>2</v>
      </c>
      <c r="D164" s="30">
        <v>247</v>
      </c>
      <c r="E164" s="30">
        <v>333.2</v>
      </c>
      <c r="F164" s="30" t="s">
        <v>626</v>
      </c>
      <c r="G164" s="30" t="s">
        <v>663</v>
      </c>
      <c r="H164" s="30">
        <v>0.69314699999999996</v>
      </c>
      <c r="I164" s="30">
        <v>5.5093880000000004</v>
      </c>
      <c r="J164" s="30">
        <v>1</v>
      </c>
      <c r="K164" s="30">
        <v>0</v>
      </c>
      <c r="L164" s="30">
        <v>0</v>
      </c>
      <c r="M164" s="30">
        <v>1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30">
        <v>0</v>
      </c>
      <c r="AG164" s="30">
        <v>0</v>
      </c>
      <c r="AH164" s="30">
        <v>0</v>
      </c>
      <c r="AI164" s="30">
        <v>0</v>
      </c>
      <c r="AJ164" s="30">
        <v>0</v>
      </c>
      <c r="AK164" s="30">
        <v>0</v>
      </c>
      <c r="AL164" s="30">
        <v>0</v>
      </c>
      <c r="AM164" s="30">
        <v>0</v>
      </c>
      <c r="AN164" s="30">
        <v>0</v>
      </c>
      <c r="AO164" s="30">
        <v>0</v>
      </c>
      <c r="AP164" s="30">
        <v>0</v>
      </c>
      <c r="AQ164" s="30">
        <v>0</v>
      </c>
      <c r="AR164" s="30">
        <v>0</v>
      </c>
      <c r="AS164" s="30">
        <v>0</v>
      </c>
      <c r="AT164" s="30">
        <v>0</v>
      </c>
      <c r="AU164" s="30">
        <v>0</v>
      </c>
      <c r="AV164" s="30">
        <v>0</v>
      </c>
      <c r="AW164" s="30">
        <v>0</v>
      </c>
      <c r="AX164" s="30">
        <v>0</v>
      </c>
      <c r="AY164" s="30">
        <v>0</v>
      </c>
    </row>
    <row r="165" spans="1:51">
      <c r="A165" s="30" t="s">
        <v>619</v>
      </c>
      <c r="B165" s="30" t="s">
        <v>683</v>
      </c>
      <c r="C165" s="30">
        <v>3</v>
      </c>
      <c r="D165" s="30">
        <v>289</v>
      </c>
      <c r="E165" s="30">
        <v>863.4</v>
      </c>
      <c r="F165" s="30" t="s">
        <v>626</v>
      </c>
      <c r="G165" s="30" t="s">
        <v>663</v>
      </c>
      <c r="H165" s="30">
        <v>1.0986119999999999</v>
      </c>
      <c r="I165" s="30">
        <v>5.6664269999999997</v>
      </c>
      <c r="J165" s="30">
        <v>1</v>
      </c>
      <c r="K165" s="30">
        <v>0</v>
      </c>
      <c r="L165" s="30">
        <v>0</v>
      </c>
      <c r="M165" s="30">
        <v>1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1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30">
        <v>0</v>
      </c>
      <c r="AG165" s="30">
        <v>0</v>
      </c>
      <c r="AH165" s="30">
        <v>0</v>
      </c>
      <c r="AI165" s="30">
        <v>0</v>
      </c>
      <c r="AJ165" s="30">
        <v>0</v>
      </c>
      <c r="AK165" s="30">
        <v>0</v>
      </c>
      <c r="AL165" s="30">
        <v>0</v>
      </c>
      <c r="AM165" s="30">
        <v>0</v>
      </c>
      <c r="AN165" s="30">
        <v>0</v>
      </c>
      <c r="AO165" s="30">
        <v>0</v>
      </c>
      <c r="AP165" s="30">
        <v>0</v>
      </c>
      <c r="AQ165" s="30">
        <v>0</v>
      </c>
      <c r="AR165" s="30">
        <v>0</v>
      </c>
      <c r="AS165" s="30">
        <v>0</v>
      </c>
      <c r="AT165" s="30">
        <v>0</v>
      </c>
      <c r="AU165" s="30">
        <v>0</v>
      </c>
      <c r="AV165" s="30">
        <v>0</v>
      </c>
      <c r="AW165" s="30">
        <v>0</v>
      </c>
      <c r="AX165" s="30">
        <v>0</v>
      </c>
      <c r="AY165" s="30">
        <v>0</v>
      </c>
    </row>
    <row r="166" spans="1:51">
      <c r="A166" s="30" t="s">
        <v>619</v>
      </c>
      <c r="B166" s="30" t="s">
        <v>684</v>
      </c>
      <c r="C166" s="30">
        <v>2</v>
      </c>
      <c r="D166" s="30">
        <v>284</v>
      </c>
      <c r="E166" s="30">
        <v>242</v>
      </c>
      <c r="F166" s="30" t="s">
        <v>626</v>
      </c>
      <c r="G166" s="30" t="s">
        <v>663</v>
      </c>
      <c r="H166" s="30">
        <v>0.69314699999999996</v>
      </c>
      <c r="I166" s="30">
        <v>5.6489739999999999</v>
      </c>
      <c r="J166" s="30">
        <v>1</v>
      </c>
      <c r="K166" s="30">
        <v>0</v>
      </c>
      <c r="L166" s="30">
        <v>0</v>
      </c>
      <c r="M166" s="30">
        <v>1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1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30">
        <v>0</v>
      </c>
      <c r="AG166" s="30">
        <v>0</v>
      </c>
      <c r="AH166" s="30">
        <v>0</v>
      </c>
      <c r="AI166" s="30">
        <v>0</v>
      </c>
      <c r="AJ166" s="30">
        <v>0</v>
      </c>
      <c r="AK166" s="30">
        <v>0</v>
      </c>
      <c r="AL166" s="30">
        <v>0</v>
      </c>
      <c r="AM166" s="30">
        <v>0</v>
      </c>
      <c r="AN166" s="30">
        <v>0</v>
      </c>
      <c r="AO166" s="30">
        <v>0</v>
      </c>
      <c r="AP166" s="30">
        <v>0</v>
      </c>
      <c r="AQ166" s="30">
        <v>0</v>
      </c>
      <c r="AR166" s="30">
        <v>0</v>
      </c>
      <c r="AS166" s="30">
        <v>0</v>
      </c>
      <c r="AT166" s="30">
        <v>0</v>
      </c>
      <c r="AU166" s="30">
        <v>0</v>
      </c>
      <c r="AV166" s="30">
        <v>0</v>
      </c>
      <c r="AW166" s="30">
        <v>0</v>
      </c>
      <c r="AX166" s="30">
        <v>0</v>
      </c>
      <c r="AY166" s="30">
        <v>0</v>
      </c>
    </row>
    <row r="167" spans="1:51">
      <c r="A167" s="30" t="s">
        <v>619</v>
      </c>
      <c r="B167" s="30" t="s">
        <v>685</v>
      </c>
      <c r="C167" s="30">
        <v>2</v>
      </c>
      <c r="D167" s="30">
        <v>172</v>
      </c>
      <c r="E167" s="30">
        <v>143.6</v>
      </c>
      <c r="F167" s="30" t="s">
        <v>626</v>
      </c>
      <c r="G167" s="30" t="s">
        <v>663</v>
      </c>
      <c r="H167" s="30">
        <v>0.69314699999999996</v>
      </c>
      <c r="I167" s="30">
        <v>5.147494</v>
      </c>
      <c r="J167" s="30">
        <v>1</v>
      </c>
      <c r="K167" s="30">
        <v>0</v>
      </c>
      <c r="L167" s="30">
        <v>0</v>
      </c>
      <c r="M167" s="30">
        <v>1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1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30">
        <v>0</v>
      </c>
      <c r="AG167" s="30">
        <v>0</v>
      </c>
      <c r="AH167" s="30">
        <v>0</v>
      </c>
      <c r="AI167" s="30">
        <v>0</v>
      </c>
      <c r="AJ167" s="30">
        <v>0</v>
      </c>
      <c r="AK167" s="30">
        <v>0</v>
      </c>
      <c r="AL167" s="30">
        <v>0</v>
      </c>
      <c r="AM167" s="30">
        <v>0</v>
      </c>
      <c r="AN167" s="30">
        <v>0</v>
      </c>
      <c r="AO167" s="30">
        <v>0</v>
      </c>
      <c r="AP167" s="30">
        <v>0</v>
      </c>
      <c r="AQ167" s="30">
        <v>0</v>
      </c>
      <c r="AR167" s="30">
        <v>0</v>
      </c>
      <c r="AS167" s="30">
        <v>0</v>
      </c>
      <c r="AT167" s="30">
        <v>0</v>
      </c>
      <c r="AU167" s="30">
        <v>0</v>
      </c>
      <c r="AV167" s="30">
        <v>0</v>
      </c>
      <c r="AW167" s="30">
        <v>0</v>
      </c>
      <c r="AX167" s="30">
        <v>0</v>
      </c>
      <c r="AY167" s="30">
        <v>0</v>
      </c>
    </row>
    <row r="168" spans="1:51">
      <c r="A168" s="30" t="s">
        <v>619</v>
      </c>
      <c r="B168" s="30" t="s">
        <v>686</v>
      </c>
      <c r="C168" s="30">
        <v>25</v>
      </c>
      <c r="D168" s="30">
        <v>9</v>
      </c>
      <c r="E168" s="30">
        <v>152</v>
      </c>
      <c r="F168" s="30" t="s">
        <v>626</v>
      </c>
      <c r="G168" s="30" t="s">
        <v>687</v>
      </c>
      <c r="H168" s="30">
        <v>3.2188759999999998</v>
      </c>
      <c r="I168" s="30">
        <v>2.197225</v>
      </c>
      <c r="J168" s="30">
        <v>1</v>
      </c>
      <c r="K168" s="30">
        <v>0</v>
      </c>
      <c r="L168" s="30">
        <v>0</v>
      </c>
      <c r="M168" s="30">
        <v>1</v>
      </c>
      <c r="N168" s="30">
        <v>0</v>
      </c>
      <c r="O168" s="30">
        <v>1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30">
        <v>0</v>
      </c>
      <c r="AG168" s="30">
        <v>0</v>
      </c>
      <c r="AH168" s="30">
        <v>0</v>
      </c>
      <c r="AI168" s="30">
        <v>0</v>
      </c>
      <c r="AJ168" s="30">
        <v>0</v>
      </c>
      <c r="AK168" s="30">
        <v>0</v>
      </c>
      <c r="AL168" s="30">
        <v>0</v>
      </c>
      <c r="AM168" s="30">
        <v>0</v>
      </c>
      <c r="AN168" s="30">
        <v>0</v>
      </c>
      <c r="AO168" s="30">
        <v>0</v>
      </c>
      <c r="AP168" s="30">
        <v>0</v>
      </c>
      <c r="AQ168" s="30">
        <v>0</v>
      </c>
      <c r="AR168" s="30">
        <v>0</v>
      </c>
      <c r="AS168" s="30">
        <v>0</v>
      </c>
      <c r="AT168" s="30">
        <v>0</v>
      </c>
      <c r="AU168" s="30">
        <v>0</v>
      </c>
      <c r="AV168" s="30">
        <v>0</v>
      </c>
      <c r="AW168" s="30">
        <v>0</v>
      </c>
      <c r="AX168" s="30">
        <v>0</v>
      </c>
      <c r="AY168" s="30">
        <v>0</v>
      </c>
    </row>
    <row r="169" spans="1:51">
      <c r="A169" s="30" t="s">
        <v>619</v>
      </c>
      <c r="B169" s="30" t="s">
        <v>688</v>
      </c>
      <c r="C169" s="30">
        <v>1</v>
      </c>
      <c r="D169" s="30">
        <v>11</v>
      </c>
      <c r="E169" s="30">
        <v>11</v>
      </c>
      <c r="F169" s="30" t="s">
        <v>621</v>
      </c>
      <c r="G169" s="30" t="s">
        <v>624</v>
      </c>
      <c r="H169" s="30">
        <v>0</v>
      </c>
      <c r="I169" s="30">
        <v>2.3978950000000001</v>
      </c>
      <c r="J169" s="30">
        <v>1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1</v>
      </c>
      <c r="AM169" s="30">
        <v>0</v>
      </c>
      <c r="AN169" s="30">
        <v>0</v>
      </c>
      <c r="AO169" s="30">
        <v>0</v>
      </c>
      <c r="AP169" s="30">
        <v>0</v>
      </c>
      <c r="AQ169" s="30">
        <v>0</v>
      </c>
      <c r="AR169" s="30">
        <v>0</v>
      </c>
      <c r="AS169" s="30">
        <v>0</v>
      </c>
      <c r="AT169" s="30">
        <v>0</v>
      </c>
      <c r="AU169" s="30">
        <v>0</v>
      </c>
      <c r="AV169" s="30">
        <v>0</v>
      </c>
      <c r="AW169" s="30">
        <v>0</v>
      </c>
      <c r="AX169" s="30">
        <v>0</v>
      </c>
      <c r="AY169" s="30">
        <v>0</v>
      </c>
    </row>
    <row r="170" spans="1:51">
      <c r="A170" s="30" t="s">
        <v>619</v>
      </c>
      <c r="B170" s="30" t="s">
        <v>689</v>
      </c>
      <c r="C170" s="30">
        <v>3</v>
      </c>
      <c r="D170" s="30">
        <v>2768</v>
      </c>
      <c r="E170" s="30">
        <v>8304</v>
      </c>
      <c r="F170" s="30" t="s">
        <v>621</v>
      </c>
      <c r="G170" s="30" t="s">
        <v>624</v>
      </c>
      <c r="H170" s="30">
        <v>1.0986119999999999</v>
      </c>
      <c r="I170" s="30">
        <v>7.9258800000000003</v>
      </c>
      <c r="J170" s="30">
        <v>1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1</v>
      </c>
      <c r="AM170" s="30">
        <v>0</v>
      </c>
      <c r="AN170" s="30">
        <v>0</v>
      </c>
      <c r="AO170" s="30">
        <v>0</v>
      </c>
      <c r="AP170" s="30">
        <v>0</v>
      </c>
      <c r="AQ170" s="30">
        <v>0</v>
      </c>
      <c r="AR170" s="30">
        <v>0</v>
      </c>
      <c r="AS170" s="30">
        <v>0</v>
      </c>
      <c r="AT170" s="30">
        <v>0</v>
      </c>
      <c r="AU170" s="30">
        <v>0</v>
      </c>
      <c r="AV170" s="30">
        <v>0</v>
      </c>
      <c r="AW170" s="30">
        <v>0</v>
      </c>
      <c r="AX170" s="30">
        <v>0</v>
      </c>
      <c r="AY170" s="30">
        <v>0</v>
      </c>
    </row>
    <row r="171" spans="1:51">
      <c r="A171" s="30" t="s">
        <v>619</v>
      </c>
      <c r="B171" s="30" t="s">
        <v>690</v>
      </c>
      <c r="C171" s="30">
        <v>0.5</v>
      </c>
      <c r="D171" s="30">
        <v>444</v>
      </c>
      <c r="E171" s="30">
        <v>222</v>
      </c>
      <c r="F171" s="30" t="s">
        <v>626</v>
      </c>
      <c r="G171" s="30" t="s">
        <v>627</v>
      </c>
      <c r="H171" s="30">
        <v>-0.69315000000000004</v>
      </c>
      <c r="I171" s="30">
        <v>6.0958249999999996</v>
      </c>
      <c r="J171" s="30">
        <v>1</v>
      </c>
      <c r="K171" s="30">
        <v>0</v>
      </c>
      <c r="L171" s="30">
        <v>0</v>
      </c>
      <c r="M171" s="30">
        <v>1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30">
        <v>0</v>
      </c>
      <c r="AH171" s="30">
        <v>0</v>
      </c>
      <c r="AI171" s="30">
        <v>0</v>
      </c>
      <c r="AJ171" s="30">
        <v>1</v>
      </c>
      <c r="AK171" s="30">
        <v>0</v>
      </c>
      <c r="AL171" s="30">
        <v>0</v>
      </c>
      <c r="AM171" s="30">
        <v>0</v>
      </c>
      <c r="AN171" s="30">
        <v>0</v>
      </c>
      <c r="AO171" s="30">
        <v>0</v>
      </c>
      <c r="AP171" s="30">
        <v>0</v>
      </c>
      <c r="AQ171" s="30">
        <v>0</v>
      </c>
      <c r="AR171" s="30">
        <v>0</v>
      </c>
      <c r="AS171" s="30">
        <v>0</v>
      </c>
      <c r="AT171" s="30">
        <v>0</v>
      </c>
      <c r="AU171" s="30">
        <v>0</v>
      </c>
      <c r="AV171" s="30">
        <v>0</v>
      </c>
      <c r="AW171" s="30">
        <v>0</v>
      </c>
      <c r="AX171" s="30">
        <v>0</v>
      </c>
      <c r="AY171" s="30">
        <v>0</v>
      </c>
    </row>
    <row r="172" spans="1:51">
      <c r="A172" s="30" t="s">
        <v>619</v>
      </c>
      <c r="B172" s="30" t="s">
        <v>691</v>
      </c>
      <c r="C172" s="30">
        <v>1</v>
      </c>
      <c r="D172" s="30">
        <v>16</v>
      </c>
      <c r="E172" s="30">
        <v>16</v>
      </c>
      <c r="F172" s="30" t="s">
        <v>626</v>
      </c>
      <c r="G172" s="30" t="s">
        <v>627</v>
      </c>
      <c r="H172" s="30">
        <v>0</v>
      </c>
      <c r="I172" s="30">
        <v>2.772589</v>
      </c>
      <c r="J172" s="30">
        <v>1</v>
      </c>
      <c r="K172" s="30">
        <v>0</v>
      </c>
      <c r="L172" s="30">
        <v>0</v>
      </c>
      <c r="M172" s="30">
        <v>1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1</v>
      </c>
      <c r="AK172" s="30">
        <v>0</v>
      </c>
      <c r="AL172" s="30">
        <v>0</v>
      </c>
      <c r="AM172" s="30">
        <v>0</v>
      </c>
      <c r="AN172" s="30">
        <v>0</v>
      </c>
      <c r="AO172" s="30">
        <v>0</v>
      </c>
      <c r="AP172" s="30">
        <v>0</v>
      </c>
      <c r="AQ172" s="30">
        <v>0</v>
      </c>
      <c r="AR172" s="30">
        <v>0</v>
      </c>
      <c r="AS172" s="30">
        <v>0</v>
      </c>
      <c r="AT172" s="30">
        <v>0</v>
      </c>
      <c r="AU172" s="30">
        <v>0</v>
      </c>
      <c r="AV172" s="30">
        <v>0</v>
      </c>
      <c r="AW172" s="30">
        <v>0</v>
      </c>
      <c r="AX172" s="30">
        <v>0</v>
      </c>
      <c r="AY172" s="30">
        <v>0</v>
      </c>
    </row>
    <row r="173" spans="1:51">
      <c r="A173" s="30" t="s">
        <v>619</v>
      </c>
      <c r="B173" s="30" t="s">
        <v>692</v>
      </c>
      <c r="C173" s="30">
        <v>1</v>
      </c>
      <c r="D173" s="30">
        <v>336</v>
      </c>
      <c r="E173" s="30">
        <v>335</v>
      </c>
      <c r="F173" s="30" t="s">
        <v>626</v>
      </c>
      <c r="G173" s="30" t="s">
        <v>627</v>
      </c>
      <c r="H173" s="30">
        <v>0</v>
      </c>
      <c r="I173" s="30">
        <v>5.8171109999999997</v>
      </c>
      <c r="J173" s="30">
        <v>1</v>
      </c>
      <c r="K173" s="30">
        <v>0</v>
      </c>
      <c r="L173" s="30">
        <v>0</v>
      </c>
      <c r="M173" s="30">
        <v>1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1</v>
      </c>
      <c r="AK173" s="30">
        <v>0</v>
      </c>
      <c r="AL173" s="30">
        <v>0</v>
      </c>
      <c r="AM173" s="30">
        <v>0</v>
      </c>
      <c r="AN173" s="30">
        <v>0</v>
      </c>
      <c r="AO173" s="30">
        <v>0</v>
      </c>
      <c r="AP173" s="30">
        <v>0</v>
      </c>
      <c r="AQ173" s="30">
        <v>0</v>
      </c>
      <c r="AR173" s="30">
        <v>0</v>
      </c>
      <c r="AS173" s="30">
        <v>0</v>
      </c>
      <c r="AT173" s="30">
        <v>0</v>
      </c>
      <c r="AU173" s="30">
        <v>0</v>
      </c>
      <c r="AV173" s="30">
        <v>0</v>
      </c>
      <c r="AW173" s="30">
        <v>0</v>
      </c>
      <c r="AX173" s="30">
        <v>0</v>
      </c>
      <c r="AY173" s="30">
        <v>0</v>
      </c>
    </row>
    <row r="174" spans="1:51">
      <c r="A174" s="30" t="s">
        <v>619</v>
      </c>
      <c r="B174" s="30" t="s">
        <v>693</v>
      </c>
      <c r="C174" s="30">
        <v>1</v>
      </c>
      <c r="D174" s="30">
        <v>10</v>
      </c>
      <c r="E174" s="30">
        <v>9.5500000000000007</v>
      </c>
      <c r="F174" s="30" t="s">
        <v>621</v>
      </c>
      <c r="G174" s="30" t="s">
        <v>631</v>
      </c>
      <c r="H174" s="30">
        <v>0</v>
      </c>
      <c r="I174" s="30">
        <v>2.3025850000000001</v>
      </c>
      <c r="J174" s="30">
        <v>1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1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0</v>
      </c>
      <c r="AM174" s="30">
        <v>0</v>
      </c>
      <c r="AN174" s="30">
        <v>0</v>
      </c>
      <c r="AO174" s="30">
        <v>0</v>
      </c>
      <c r="AP174" s="30">
        <v>0</v>
      </c>
      <c r="AQ174" s="30">
        <v>0</v>
      </c>
      <c r="AR174" s="30">
        <v>0</v>
      </c>
      <c r="AS174" s="30">
        <v>0</v>
      </c>
      <c r="AT174" s="30">
        <v>0</v>
      </c>
      <c r="AU174" s="30">
        <v>0</v>
      </c>
      <c r="AV174" s="30">
        <v>0</v>
      </c>
      <c r="AW174" s="30">
        <v>0</v>
      </c>
      <c r="AX174" s="30">
        <v>0</v>
      </c>
      <c r="AY174" s="30">
        <v>0</v>
      </c>
    </row>
    <row r="175" spans="1:51">
      <c r="A175" s="30" t="s">
        <v>619</v>
      </c>
      <c r="B175" s="30" t="s">
        <v>694</v>
      </c>
      <c r="C175" s="30">
        <v>1</v>
      </c>
      <c r="D175" s="30">
        <v>2953</v>
      </c>
      <c r="E175" s="30">
        <v>2741.65</v>
      </c>
      <c r="F175" s="30" t="s">
        <v>621</v>
      </c>
      <c r="G175" s="30" t="s">
        <v>624</v>
      </c>
      <c r="H175" s="30">
        <v>0</v>
      </c>
      <c r="I175" s="30">
        <v>7.990577</v>
      </c>
      <c r="J175" s="30">
        <v>1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30">
        <v>0</v>
      </c>
      <c r="AG175" s="30">
        <v>0</v>
      </c>
      <c r="AH175" s="30">
        <v>0</v>
      </c>
      <c r="AI175" s="30">
        <v>0</v>
      </c>
      <c r="AJ175" s="30">
        <v>0</v>
      </c>
      <c r="AK175" s="30">
        <v>0</v>
      </c>
      <c r="AL175" s="30">
        <v>1</v>
      </c>
      <c r="AM175" s="30">
        <v>0</v>
      </c>
      <c r="AN175" s="30">
        <v>0</v>
      </c>
      <c r="AO175" s="30">
        <v>0</v>
      </c>
      <c r="AP175" s="30">
        <v>0</v>
      </c>
      <c r="AQ175" s="30">
        <v>0</v>
      </c>
      <c r="AR175" s="30">
        <v>0</v>
      </c>
      <c r="AS175" s="30">
        <v>0</v>
      </c>
      <c r="AT175" s="30">
        <v>0</v>
      </c>
      <c r="AU175" s="30">
        <v>0</v>
      </c>
      <c r="AV175" s="30">
        <v>0</v>
      </c>
      <c r="AW175" s="30">
        <v>0</v>
      </c>
      <c r="AX175" s="30">
        <v>0</v>
      </c>
      <c r="AY175" s="30">
        <v>0</v>
      </c>
    </row>
    <row r="176" spans="1:51">
      <c r="A176" s="30" t="s">
        <v>619</v>
      </c>
      <c r="B176" s="30" t="s">
        <v>695</v>
      </c>
      <c r="C176" s="30">
        <v>3</v>
      </c>
      <c r="D176" s="30">
        <v>140</v>
      </c>
      <c r="E176" s="30">
        <v>420</v>
      </c>
      <c r="F176" s="30" t="s">
        <v>621</v>
      </c>
      <c r="G176" s="30" t="s">
        <v>624</v>
      </c>
      <c r="H176" s="30">
        <v>1.0986119999999999</v>
      </c>
      <c r="I176" s="30">
        <v>4.9416419999999999</v>
      </c>
      <c r="J176" s="30">
        <v>1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30">
        <v>0</v>
      </c>
      <c r="AG176" s="30">
        <v>0</v>
      </c>
      <c r="AH176" s="30">
        <v>0</v>
      </c>
      <c r="AI176" s="30">
        <v>0</v>
      </c>
      <c r="AJ176" s="30">
        <v>0</v>
      </c>
      <c r="AK176" s="30">
        <v>0</v>
      </c>
      <c r="AL176" s="30">
        <v>1</v>
      </c>
      <c r="AM176" s="30">
        <v>0</v>
      </c>
      <c r="AN176" s="30">
        <v>0</v>
      </c>
      <c r="AO176" s="30">
        <v>0</v>
      </c>
      <c r="AP176" s="30">
        <v>0</v>
      </c>
      <c r="AQ176" s="30">
        <v>0</v>
      </c>
      <c r="AR176" s="30">
        <v>0</v>
      </c>
      <c r="AS176" s="30">
        <v>0</v>
      </c>
      <c r="AT176" s="30">
        <v>0</v>
      </c>
      <c r="AU176" s="30">
        <v>0</v>
      </c>
      <c r="AV176" s="30">
        <v>0</v>
      </c>
      <c r="AW176" s="30">
        <v>0</v>
      </c>
      <c r="AX176" s="30">
        <v>0</v>
      </c>
      <c r="AY176" s="30">
        <v>0</v>
      </c>
    </row>
    <row r="177" spans="1:51">
      <c r="A177" s="30" t="s">
        <v>619</v>
      </c>
      <c r="B177" s="30" t="s">
        <v>696</v>
      </c>
      <c r="C177" s="30">
        <v>1</v>
      </c>
      <c r="D177" s="30">
        <v>11</v>
      </c>
      <c r="E177" s="30">
        <v>11</v>
      </c>
      <c r="F177" s="30" t="s">
        <v>626</v>
      </c>
      <c r="G177" s="30" t="s">
        <v>627</v>
      </c>
      <c r="H177" s="30">
        <v>0</v>
      </c>
      <c r="I177" s="30">
        <v>2.3978950000000001</v>
      </c>
      <c r="J177" s="30">
        <v>1</v>
      </c>
      <c r="K177" s="30">
        <v>0</v>
      </c>
      <c r="L177" s="30">
        <v>0</v>
      </c>
      <c r="M177" s="30">
        <v>1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  <c r="AE177" s="30">
        <v>0</v>
      </c>
      <c r="AF177" s="30">
        <v>0</v>
      </c>
      <c r="AG177" s="30">
        <v>0</v>
      </c>
      <c r="AH177" s="30">
        <v>0</v>
      </c>
      <c r="AI177" s="30">
        <v>0</v>
      </c>
      <c r="AJ177" s="30">
        <v>1</v>
      </c>
      <c r="AK177" s="30">
        <v>0</v>
      </c>
      <c r="AL177" s="30">
        <v>0</v>
      </c>
      <c r="AM177" s="30">
        <v>0</v>
      </c>
      <c r="AN177" s="30">
        <v>0</v>
      </c>
      <c r="AO177" s="30">
        <v>0</v>
      </c>
      <c r="AP177" s="30">
        <v>0</v>
      </c>
      <c r="AQ177" s="30">
        <v>0</v>
      </c>
      <c r="AR177" s="30">
        <v>0</v>
      </c>
      <c r="AS177" s="30">
        <v>0</v>
      </c>
      <c r="AT177" s="30">
        <v>0</v>
      </c>
      <c r="AU177" s="30">
        <v>0</v>
      </c>
      <c r="AV177" s="30">
        <v>0</v>
      </c>
      <c r="AW177" s="30">
        <v>0</v>
      </c>
      <c r="AX177" s="30">
        <v>0</v>
      </c>
      <c r="AY177" s="30">
        <v>0</v>
      </c>
    </row>
    <row r="178" spans="1:51">
      <c r="A178" s="30" t="s">
        <v>619</v>
      </c>
      <c r="B178" s="30" t="s">
        <v>697</v>
      </c>
      <c r="C178" s="30">
        <v>3</v>
      </c>
      <c r="D178" s="30">
        <v>140</v>
      </c>
      <c r="E178" s="30">
        <v>420</v>
      </c>
      <c r="F178" s="30" t="s">
        <v>621</v>
      </c>
      <c r="G178" s="30" t="s">
        <v>698</v>
      </c>
      <c r="H178" s="30">
        <v>1.0986119999999999</v>
      </c>
      <c r="I178" s="30">
        <v>4.9416419999999999</v>
      </c>
      <c r="J178" s="30">
        <v>1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30">
        <v>0</v>
      </c>
      <c r="AG178" s="30">
        <v>0</v>
      </c>
      <c r="AH178" s="30">
        <v>0</v>
      </c>
      <c r="AI178" s="30">
        <v>0</v>
      </c>
      <c r="AJ178" s="30">
        <v>0</v>
      </c>
      <c r="AK178" s="30">
        <v>0</v>
      </c>
      <c r="AL178" s="30">
        <v>0</v>
      </c>
      <c r="AM178" s="30">
        <v>0</v>
      </c>
      <c r="AN178" s="30">
        <v>0</v>
      </c>
      <c r="AO178" s="30">
        <v>0</v>
      </c>
      <c r="AP178" s="30">
        <v>0</v>
      </c>
      <c r="AQ178" s="30">
        <v>0</v>
      </c>
      <c r="AR178" s="30">
        <v>0</v>
      </c>
      <c r="AS178" s="30">
        <v>0</v>
      </c>
      <c r="AT178" s="30">
        <v>0</v>
      </c>
      <c r="AU178" s="30">
        <v>0</v>
      </c>
      <c r="AV178" s="30">
        <v>1</v>
      </c>
      <c r="AW178" s="30">
        <v>0</v>
      </c>
      <c r="AX178" s="30">
        <v>0</v>
      </c>
      <c r="AY178" s="30">
        <v>0</v>
      </c>
    </row>
    <row r="179" spans="1:51">
      <c r="A179" s="30" t="s">
        <v>619</v>
      </c>
      <c r="B179" s="30" t="s">
        <v>699</v>
      </c>
      <c r="C179" s="30">
        <v>3</v>
      </c>
      <c r="D179" s="30">
        <v>2122</v>
      </c>
      <c r="E179" s="30">
        <v>6364.2</v>
      </c>
      <c r="F179" s="30" t="s">
        <v>621</v>
      </c>
      <c r="G179" s="30" t="s">
        <v>638</v>
      </c>
      <c r="H179" s="30">
        <v>1.0986119999999999</v>
      </c>
      <c r="I179" s="30">
        <v>7.6601140000000001</v>
      </c>
      <c r="J179" s="30">
        <v>1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30">
        <v>0</v>
      </c>
      <c r="AG179" s="30">
        <v>0</v>
      </c>
      <c r="AH179" s="30">
        <v>0</v>
      </c>
      <c r="AI179" s="30">
        <v>0</v>
      </c>
      <c r="AJ179" s="30">
        <v>0</v>
      </c>
      <c r="AK179" s="30">
        <v>0</v>
      </c>
      <c r="AL179" s="30">
        <v>0</v>
      </c>
      <c r="AM179" s="30">
        <v>0</v>
      </c>
      <c r="AN179" s="30">
        <v>0</v>
      </c>
      <c r="AO179" s="30">
        <v>0</v>
      </c>
      <c r="AP179" s="30">
        <v>0</v>
      </c>
      <c r="AQ179" s="30">
        <v>0</v>
      </c>
      <c r="AR179" s="30">
        <v>0</v>
      </c>
      <c r="AS179" s="30">
        <v>0</v>
      </c>
      <c r="AT179" s="30">
        <v>0</v>
      </c>
      <c r="AU179" s="30">
        <v>0</v>
      </c>
      <c r="AV179" s="30">
        <v>0</v>
      </c>
      <c r="AW179" s="30">
        <v>0</v>
      </c>
      <c r="AX179" s="30">
        <v>0</v>
      </c>
      <c r="AY179" s="30">
        <v>0</v>
      </c>
    </row>
    <row r="180" spans="1:51">
      <c r="A180" s="30" t="s">
        <v>619</v>
      </c>
      <c r="B180" s="30" t="s">
        <v>700</v>
      </c>
      <c r="C180" s="30">
        <v>1</v>
      </c>
      <c r="D180" s="30">
        <v>1</v>
      </c>
      <c r="E180" s="30">
        <v>1</v>
      </c>
      <c r="F180" s="30" t="s">
        <v>626</v>
      </c>
      <c r="G180" s="30" t="s">
        <v>638</v>
      </c>
      <c r="H180" s="30">
        <v>0</v>
      </c>
      <c r="I180" s="30">
        <v>0</v>
      </c>
      <c r="J180" s="30">
        <v>1</v>
      </c>
      <c r="K180" s="30">
        <v>0</v>
      </c>
      <c r="L180" s="30">
        <v>0</v>
      </c>
      <c r="M180" s="30">
        <v>1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30">
        <v>0</v>
      </c>
      <c r="AG180" s="30">
        <v>0</v>
      </c>
      <c r="AH180" s="30">
        <v>0</v>
      </c>
      <c r="AI180" s="30">
        <v>0</v>
      </c>
      <c r="AJ180" s="30">
        <v>0</v>
      </c>
      <c r="AK180" s="30">
        <v>0</v>
      </c>
      <c r="AL180" s="30">
        <v>0</v>
      </c>
      <c r="AM180" s="30">
        <v>0</v>
      </c>
      <c r="AN180" s="30">
        <v>0</v>
      </c>
      <c r="AO180" s="30">
        <v>0</v>
      </c>
      <c r="AP180" s="30">
        <v>0</v>
      </c>
      <c r="AQ180" s="30">
        <v>0</v>
      </c>
      <c r="AR180" s="30">
        <v>0</v>
      </c>
      <c r="AS180" s="30">
        <v>0</v>
      </c>
      <c r="AT180" s="30">
        <v>0</v>
      </c>
      <c r="AU180" s="30">
        <v>0</v>
      </c>
      <c r="AV180" s="30">
        <v>0</v>
      </c>
      <c r="AW180" s="30">
        <v>0</v>
      </c>
      <c r="AX180" s="30">
        <v>0</v>
      </c>
      <c r="AY180" s="30">
        <v>0</v>
      </c>
    </row>
    <row r="181" spans="1:51">
      <c r="A181" s="30" t="s">
        <v>619</v>
      </c>
      <c r="B181" s="30" t="s">
        <v>701</v>
      </c>
      <c r="C181" s="30">
        <v>2</v>
      </c>
      <c r="D181" s="30">
        <v>4520</v>
      </c>
      <c r="E181" s="30">
        <v>9039</v>
      </c>
      <c r="F181" s="30" t="s">
        <v>621</v>
      </c>
      <c r="G181" s="30" t="s">
        <v>638</v>
      </c>
      <c r="H181" s="30">
        <v>0.69314699999999996</v>
      </c>
      <c r="I181" s="30">
        <v>8.4162669999999995</v>
      </c>
      <c r="J181" s="30">
        <v>1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30">
        <v>0</v>
      </c>
      <c r="AG181" s="30">
        <v>0</v>
      </c>
      <c r="AH181" s="30">
        <v>0</v>
      </c>
      <c r="AI181" s="30">
        <v>0</v>
      </c>
      <c r="AJ181" s="30">
        <v>0</v>
      </c>
      <c r="AK181" s="30">
        <v>0</v>
      </c>
      <c r="AL181" s="30">
        <v>0</v>
      </c>
      <c r="AM181" s="30">
        <v>0</v>
      </c>
      <c r="AN181" s="30">
        <v>0</v>
      </c>
      <c r="AO181" s="30">
        <v>0</v>
      </c>
      <c r="AP181" s="30">
        <v>0</v>
      </c>
      <c r="AQ181" s="30">
        <v>0</v>
      </c>
      <c r="AR181" s="30">
        <v>0</v>
      </c>
      <c r="AS181" s="30">
        <v>0</v>
      </c>
      <c r="AT181" s="30">
        <v>0</v>
      </c>
      <c r="AU181" s="30">
        <v>0</v>
      </c>
      <c r="AV181" s="30">
        <v>0</v>
      </c>
      <c r="AW181" s="30">
        <v>0</v>
      </c>
      <c r="AX181" s="30">
        <v>0</v>
      </c>
      <c r="AY181" s="30">
        <v>0</v>
      </c>
    </row>
    <row r="182" spans="1:51">
      <c r="A182" s="30" t="s">
        <v>619</v>
      </c>
      <c r="B182" s="30" t="s">
        <v>702</v>
      </c>
      <c r="C182" s="30">
        <v>8</v>
      </c>
      <c r="D182" s="30">
        <v>3</v>
      </c>
      <c r="E182" s="30">
        <v>24</v>
      </c>
      <c r="F182" s="30" t="s">
        <v>621</v>
      </c>
      <c r="G182" s="30" t="s">
        <v>648</v>
      </c>
      <c r="H182" s="30">
        <v>2.0794419999999998</v>
      </c>
      <c r="I182" s="30">
        <v>1.0986119999999999</v>
      </c>
      <c r="J182" s="30">
        <v>1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30">
        <v>0</v>
      </c>
      <c r="AG182" s="30">
        <v>0</v>
      </c>
      <c r="AH182" s="30">
        <v>0</v>
      </c>
      <c r="AI182" s="30">
        <v>0</v>
      </c>
      <c r="AJ182" s="30">
        <v>0</v>
      </c>
      <c r="AK182" s="30">
        <v>0</v>
      </c>
      <c r="AL182" s="30">
        <v>0</v>
      </c>
      <c r="AM182" s="30">
        <v>0</v>
      </c>
      <c r="AN182" s="30">
        <v>0</v>
      </c>
      <c r="AO182" s="30">
        <v>1</v>
      </c>
      <c r="AP182" s="30">
        <v>0</v>
      </c>
      <c r="AQ182" s="30">
        <v>0</v>
      </c>
      <c r="AR182" s="30">
        <v>0</v>
      </c>
      <c r="AS182" s="30">
        <v>0</v>
      </c>
      <c r="AT182" s="30">
        <v>0</v>
      </c>
      <c r="AU182" s="30">
        <v>0</v>
      </c>
      <c r="AV182" s="30">
        <v>0</v>
      </c>
      <c r="AW182" s="30">
        <v>0</v>
      </c>
      <c r="AX182" s="30">
        <v>0</v>
      </c>
      <c r="AY182" s="30">
        <v>0</v>
      </c>
    </row>
    <row r="183" spans="1:51">
      <c r="A183" s="30" t="s">
        <v>619</v>
      </c>
      <c r="B183" s="30" t="s">
        <v>703</v>
      </c>
      <c r="C183" s="30">
        <v>3</v>
      </c>
      <c r="D183" s="30">
        <v>236</v>
      </c>
      <c r="E183" s="30">
        <v>708</v>
      </c>
      <c r="F183" s="30" t="s">
        <v>621</v>
      </c>
      <c r="G183" s="30" t="s">
        <v>624</v>
      </c>
      <c r="H183" s="30">
        <v>1.0986119999999999</v>
      </c>
      <c r="I183" s="30">
        <v>5.463832</v>
      </c>
      <c r="J183" s="30">
        <v>1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30">
        <v>0</v>
      </c>
      <c r="AG183" s="30">
        <v>0</v>
      </c>
      <c r="AH183" s="30">
        <v>0</v>
      </c>
      <c r="AI183" s="30">
        <v>0</v>
      </c>
      <c r="AJ183" s="30">
        <v>0</v>
      </c>
      <c r="AK183" s="30">
        <v>0</v>
      </c>
      <c r="AL183" s="30">
        <v>1</v>
      </c>
      <c r="AM183" s="30">
        <v>0</v>
      </c>
      <c r="AN183" s="30">
        <v>0</v>
      </c>
      <c r="AO183" s="30">
        <v>0</v>
      </c>
      <c r="AP183" s="30">
        <v>0</v>
      </c>
      <c r="AQ183" s="30">
        <v>0</v>
      </c>
      <c r="AR183" s="30">
        <v>0</v>
      </c>
      <c r="AS183" s="30">
        <v>0</v>
      </c>
      <c r="AT183" s="30">
        <v>0</v>
      </c>
      <c r="AU183" s="30">
        <v>0</v>
      </c>
      <c r="AV183" s="30">
        <v>0</v>
      </c>
      <c r="AW183" s="30">
        <v>0</v>
      </c>
      <c r="AX183" s="30">
        <v>0</v>
      </c>
      <c r="AY183" s="30">
        <v>0</v>
      </c>
    </row>
    <row r="184" spans="1:51">
      <c r="A184" s="30" t="s">
        <v>619</v>
      </c>
      <c r="B184" s="30" t="s">
        <v>704</v>
      </c>
      <c r="C184" s="30">
        <v>4</v>
      </c>
      <c r="D184" s="30">
        <v>3956</v>
      </c>
      <c r="E184" s="30">
        <v>15816.6</v>
      </c>
      <c r="F184" s="30" t="s">
        <v>621</v>
      </c>
      <c r="G184" s="30" t="s">
        <v>638</v>
      </c>
      <c r="H184" s="30">
        <v>1.3862939999999999</v>
      </c>
      <c r="I184" s="30">
        <v>8.2829890000000006</v>
      </c>
      <c r="J184" s="30">
        <v>1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30">
        <v>0</v>
      </c>
      <c r="AG184" s="30">
        <v>0</v>
      </c>
      <c r="AH184" s="30">
        <v>0</v>
      </c>
      <c r="AI184" s="30">
        <v>0</v>
      </c>
      <c r="AJ184" s="30">
        <v>0</v>
      </c>
      <c r="AK184" s="30">
        <v>0</v>
      </c>
      <c r="AL184" s="30">
        <v>0</v>
      </c>
      <c r="AM184" s="30">
        <v>0</v>
      </c>
      <c r="AN184" s="30">
        <v>0</v>
      </c>
      <c r="AO184" s="30">
        <v>0</v>
      </c>
      <c r="AP184" s="30">
        <v>0</v>
      </c>
      <c r="AQ184" s="30">
        <v>0</v>
      </c>
      <c r="AR184" s="30">
        <v>0</v>
      </c>
      <c r="AS184" s="30">
        <v>0</v>
      </c>
      <c r="AT184" s="30">
        <v>0</v>
      </c>
      <c r="AU184" s="30">
        <v>0</v>
      </c>
      <c r="AV184" s="30">
        <v>0</v>
      </c>
      <c r="AW184" s="30">
        <v>0</v>
      </c>
      <c r="AX184" s="30">
        <v>0</v>
      </c>
      <c r="AY184" s="30">
        <v>0</v>
      </c>
    </row>
    <row r="185" spans="1:51">
      <c r="A185" s="30" t="s">
        <v>619</v>
      </c>
      <c r="B185" s="30" t="s">
        <v>705</v>
      </c>
      <c r="C185" s="30">
        <v>3</v>
      </c>
      <c r="D185" s="30">
        <v>4712</v>
      </c>
      <c r="E185" s="30">
        <v>14109.75</v>
      </c>
      <c r="F185" s="30" t="s">
        <v>621</v>
      </c>
      <c r="G185" s="30" t="s">
        <v>638</v>
      </c>
      <c r="H185" s="30">
        <v>1.0986119999999999</v>
      </c>
      <c r="I185" s="30">
        <v>8.4578679999999995</v>
      </c>
      <c r="J185" s="30">
        <v>1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30">
        <v>0</v>
      </c>
      <c r="AG185" s="30">
        <v>0</v>
      </c>
      <c r="AH185" s="30">
        <v>0</v>
      </c>
      <c r="AI185" s="30">
        <v>0</v>
      </c>
      <c r="AJ185" s="30">
        <v>0</v>
      </c>
      <c r="AK185" s="30">
        <v>0</v>
      </c>
      <c r="AL185" s="30">
        <v>0</v>
      </c>
      <c r="AM185" s="30">
        <v>0</v>
      </c>
      <c r="AN185" s="30">
        <v>0</v>
      </c>
      <c r="AO185" s="30">
        <v>0</v>
      </c>
      <c r="AP185" s="30">
        <v>0</v>
      </c>
      <c r="AQ185" s="30">
        <v>0</v>
      </c>
      <c r="AR185" s="30">
        <v>0</v>
      </c>
      <c r="AS185" s="30">
        <v>0</v>
      </c>
      <c r="AT185" s="30">
        <v>0</v>
      </c>
      <c r="AU185" s="30">
        <v>0</v>
      </c>
      <c r="AV185" s="30">
        <v>0</v>
      </c>
      <c r="AW185" s="30">
        <v>0</v>
      </c>
      <c r="AX185" s="30">
        <v>0</v>
      </c>
      <c r="AY185" s="30">
        <v>0</v>
      </c>
    </row>
    <row r="186" spans="1:51">
      <c r="A186" s="30" t="s">
        <v>619</v>
      </c>
      <c r="B186" s="30" t="s">
        <v>706</v>
      </c>
      <c r="C186" s="30">
        <v>50</v>
      </c>
      <c r="D186" s="30">
        <v>281</v>
      </c>
      <c r="E186" s="30">
        <v>12190</v>
      </c>
      <c r="F186" s="30" t="s">
        <v>621</v>
      </c>
      <c r="G186" s="30" t="s">
        <v>237</v>
      </c>
      <c r="H186" s="30">
        <v>3.912023</v>
      </c>
      <c r="I186" s="30">
        <v>5.6383549999999998</v>
      </c>
      <c r="J186" s="30">
        <v>1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1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30">
        <v>0</v>
      </c>
      <c r="AG186" s="30">
        <v>0</v>
      </c>
      <c r="AH186" s="30">
        <v>0</v>
      </c>
      <c r="AI186" s="30">
        <v>0</v>
      </c>
      <c r="AJ186" s="30">
        <v>0</v>
      </c>
      <c r="AK186" s="30">
        <v>0</v>
      </c>
      <c r="AL186" s="30">
        <v>0</v>
      </c>
      <c r="AM186" s="30">
        <v>0</v>
      </c>
      <c r="AN186" s="30">
        <v>0</v>
      </c>
      <c r="AO186" s="30">
        <v>0</v>
      </c>
      <c r="AP186" s="30">
        <v>0</v>
      </c>
      <c r="AQ186" s="30">
        <v>0</v>
      </c>
      <c r="AR186" s="30">
        <v>0</v>
      </c>
      <c r="AS186" s="30">
        <v>0</v>
      </c>
      <c r="AT186" s="30">
        <v>0</v>
      </c>
      <c r="AU186" s="30">
        <v>0</v>
      </c>
      <c r="AV186" s="30">
        <v>0</v>
      </c>
      <c r="AW186" s="30">
        <v>0</v>
      </c>
      <c r="AX186" s="30">
        <v>0</v>
      </c>
      <c r="AY186" s="30">
        <v>0</v>
      </c>
    </row>
    <row r="187" spans="1:51">
      <c r="A187" s="30" t="s">
        <v>619</v>
      </c>
      <c r="B187" s="30" t="s">
        <v>707</v>
      </c>
      <c r="C187" s="30">
        <v>60</v>
      </c>
      <c r="D187" s="30">
        <v>1027</v>
      </c>
      <c r="E187" s="30">
        <v>56925</v>
      </c>
      <c r="F187" s="30" t="s">
        <v>621</v>
      </c>
      <c r="G187" s="30" t="s">
        <v>237</v>
      </c>
      <c r="H187" s="30">
        <v>4.0943449999999997</v>
      </c>
      <c r="I187" s="30">
        <v>6.9343969999999997</v>
      </c>
      <c r="J187" s="30">
        <v>1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1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30">
        <v>0</v>
      </c>
      <c r="AG187" s="30">
        <v>0</v>
      </c>
      <c r="AH187" s="30">
        <v>0</v>
      </c>
      <c r="AI187" s="30">
        <v>0</v>
      </c>
      <c r="AJ187" s="30">
        <v>0</v>
      </c>
      <c r="AK187" s="30">
        <v>0</v>
      </c>
      <c r="AL187" s="30">
        <v>0</v>
      </c>
      <c r="AM187" s="30">
        <v>0</v>
      </c>
      <c r="AN187" s="30">
        <v>0</v>
      </c>
      <c r="AO187" s="30">
        <v>0</v>
      </c>
      <c r="AP187" s="30">
        <v>0</v>
      </c>
      <c r="AQ187" s="30">
        <v>0</v>
      </c>
      <c r="AR187" s="30">
        <v>0</v>
      </c>
      <c r="AS187" s="30">
        <v>0</v>
      </c>
      <c r="AT187" s="30">
        <v>0</v>
      </c>
      <c r="AU187" s="30">
        <v>0</v>
      </c>
      <c r="AV187" s="30">
        <v>0</v>
      </c>
      <c r="AW187" s="30">
        <v>0</v>
      </c>
      <c r="AX187" s="30">
        <v>0</v>
      </c>
      <c r="AY187" s="30">
        <v>0</v>
      </c>
    </row>
    <row r="188" spans="1:51">
      <c r="A188" s="30" t="s">
        <v>619</v>
      </c>
      <c r="B188" s="30" t="s">
        <v>708</v>
      </c>
      <c r="C188" s="30">
        <v>50</v>
      </c>
      <c r="D188" s="30">
        <v>2381</v>
      </c>
      <c r="E188" s="30">
        <v>109572.5</v>
      </c>
      <c r="F188" s="30" t="s">
        <v>621</v>
      </c>
      <c r="G188" s="30" t="s">
        <v>237</v>
      </c>
      <c r="H188" s="30">
        <v>3.912023</v>
      </c>
      <c r="I188" s="30">
        <v>7.7752759999999999</v>
      </c>
      <c r="J188" s="30">
        <v>1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1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30">
        <v>0</v>
      </c>
      <c r="AG188" s="30">
        <v>0</v>
      </c>
      <c r="AH188" s="30">
        <v>0</v>
      </c>
      <c r="AI188" s="30">
        <v>0</v>
      </c>
      <c r="AJ188" s="30">
        <v>0</v>
      </c>
      <c r="AK188" s="30">
        <v>0</v>
      </c>
      <c r="AL188" s="30">
        <v>0</v>
      </c>
      <c r="AM188" s="30">
        <v>0</v>
      </c>
      <c r="AN188" s="30">
        <v>0</v>
      </c>
      <c r="AO188" s="30">
        <v>0</v>
      </c>
      <c r="AP188" s="30">
        <v>0</v>
      </c>
      <c r="AQ188" s="30">
        <v>0</v>
      </c>
      <c r="AR188" s="30">
        <v>0</v>
      </c>
      <c r="AS188" s="30">
        <v>0</v>
      </c>
      <c r="AT188" s="30">
        <v>0</v>
      </c>
      <c r="AU188" s="30">
        <v>0</v>
      </c>
      <c r="AV188" s="30">
        <v>0</v>
      </c>
      <c r="AW188" s="30">
        <v>0</v>
      </c>
      <c r="AX188" s="30">
        <v>0</v>
      </c>
      <c r="AY188" s="30">
        <v>0</v>
      </c>
    </row>
    <row r="189" spans="1:51">
      <c r="A189" s="30" t="s">
        <v>619</v>
      </c>
      <c r="B189" s="30" t="s">
        <v>709</v>
      </c>
      <c r="C189" s="30">
        <v>40</v>
      </c>
      <c r="D189" s="30">
        <v>1514</v>
      </c>
      <c r="E189" s="30">
        <v>52236</v>
      </c>
      <c r="F189" s="30" t="s">
        <v>621</v>
      </c>
      <c r="G189" s="30" t="s">
        <v>237</v>
      </c>
      <c r="H189" s="30">
        <v>3.688879</v>
      </c>
      <c r="I189" s="30">
        <v>7.3225100000000003</v>
      </c>
      <c r="J189" s="30">
        <v>1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1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30">
        <v>0</v>
      </c>
      <c r="AG189" s="30">
        <v>0</v>
      </c>
      <c r="AH189" s="30">
        <v>0</v>
      </c>
      <c r="AI189" s="30">
        <v>0</v>
      </c>
      <c r="AJ189" s="30">
        <v>0</v>
      </c>
      <c r="AK189" s="30">
        <v>0</v>
      </c>
      <c r="AL189" s="30">
        <v>0</v>
      </c>
      <c r="AM189" s="30">
        <v>0</v>
      </c>
      <c r="AN189" s="30">
        <v>0</v>
      </c>
      <c r="AO189" s="30">
        <v>0</v>
      </c>
      <c r="AP189" s="30">
        <v>0</v>
      </c>
      <c r="AQ189" s="30">
        <v>0</v>
      </c>
      <c r="AR189" s="30">
        <v>0</v>
      </c>
      <c r="AS189" s="30">
        <v>0</v>
      </c>
      <c r="AT189" s="30">
        <v>0</v>
      </c>
      <c r="AU189" s="30">
        <v>0</v>
      </c>
      <c r="AV189" s="30">
        <v>0</v>
      </c>
      <c r="AW189" s="30">
        <v>0</v>
      </c>
      <c r="AX189" s="30">
        <v>0</v>
      </c>
      <c r="AY189" s="30">
        <v>0</v>
      </c>
    </row>
    <row r="190" spans="1:51">
      <c r="A190" s="30" t="s">
        <v>619</v>
      </c>
      <c r="B190" s="30" t="s">
        <v>710</v>
      </c>
      <c r="C190" s="30">
        <v>20</v>
      </c>
      <c r="D190" s="30">
        <v>353</v>
      </c>
      <c r="E190" s="30">
        <v>6690</v>
      </c>
      <c r="F190" s="30" t="s">
        <v>621</v>
      </c>
      <c r="G190" s="30" t="s">
        <v>237</v>
      </c>
      <c r="H190" s="30">
        <v>2.9957319999999998</v>
      </c>
      <c r="I190" s="30">
        <v>5.8664680000000002</v>
      </c>
      <c r="J190" s="30">
        <v>1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1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30">
        <v>0</v>
      </c>
      <c r="AG190" s="30">
        <v>0</v>
      </c>
      <c r="AH190" s="30">
        <v>0</v>
      </c>
      <c r="AI190" s="30">
        <v>0</v>
      </c>
      <c r="AJ190" s="30">
        <v>0</v>
      </c>
      <c r="AK190" s="30">
        <v>0</v>
      </c>
      <c r="AL190" s="30">
        <v>0</v>
      </c>
      <c r="AM190" s="30">
        <v>0</v>
      </c>
      <c r="AN190" s="30">
        <v>0</v>
      </c>
      <c r="AO190" s="30">
        <v>0</v>
      </c>
      <c r="AP190" s="30">
        <v>0</v>
      </c>
      <c r="AQ190" s="30">
        <v>0</v>
      </c>
      <c r="AR190" s="30">
        <v>0</v>
      </c>
      <c r="AS190" s="30">
        <v>0</v>
      </c>
      <c r="AT190" s="30">
        <v>0</v>
      </c>
      <c r="AU190" s="30">
        <v>0</v>
      </c>
      <c r="AV190" s="30">
        <v>0</v>
      </c>
      <c r="AW190" s="30">
        <v>0</v>
      </c>
      <c r="AX190" s="30">
        <v>0</v>
      </c>
      <c r="AY190" s="30">
        <v>0</v>
      </c>
    </row>
    <row r="191" spans="1:51">
      <c r="A191" s="30" t="s">
        <v>619</v>
      </c>
      <c r="B191" s="30" t="s">
        <v>711</v>
      </c>
      <c r="C191" s="30">
        <v>10</v>
      </c>
      <c r="D191" s="30">
        <v>87</v>
      </c>
      <c r="E191" s="30">
        <v>435</v>
      </c>
      <c r="F191" s="30" t="s">
        <v>621</v>
      </c>
      <c r="G191" s="30" t="s">
        <v>642</v>
      </c>
      <c r="H191" s="30">
        <v>2.3025850000000001</v>
      </c>
      <c r="I191" s="30">
        <v>4.4659079999999998</v>
      </c>
      <c r="J191" s="30">
        <v>1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1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30">
        <v>0</v>
      </c>
      <c r="AG191" s="30">
        <v>0</v>
      </c>
      <c r="AH191" s="30">
        <v>0</v>
      </c>
      <c r="AI191" s="30">
        <v>0</v>
      </c>
      <c r="AJ191" s="30">
        <v>0</v>
      </c>
      <c r="AK191" s="30">
        <v>0</v>
      </c>
      <c r="AL191" s="30">
        <v>0</v>
      </c>
      <c r="AM191" s="30">
        <v>0</v>
      </c>
      <c r="AN191" s="30">
        <v>0</v>
      </c>
      <c r="AO191" s="30">
        <v>0</v>
      </c>
      <c r="AP191" s="30">
        <v>0</v>
      </c>
      <c r="AQ191" s="30">
        <v>0</v>
      </c>
      <c r="AR191" s="30">
        <v>0</v>
      </c>
      <c r="AS191" s="30">
        <v>0</v>
      </c>
      <c r="AT191" s="30">
        <v>0</v>
      </c>
      <c r="AU191" s="30">
        <v>0</v>
      </c>
      <c r="AV191" s="30">
        <v>0</v>
      </c>
      <c r="AW191" s="30">
        <v>0</v>
      </c>
      <c r="AX191" s="30">
        <v>0</v>
      </c>
      <c r="AY191" s="30">
        <v>0</v>
      </c>
    </row>
    <row r="192" spans="1:51">
      <c r="A192" s="30" t="s">
        <v>619</v>
      </c>
      <c r="B192" s="30" t="s">
        <v>712</v>
      </c>
      <c r="C192" s="30">
        <v>10</v>
      </c>
      <c r="D192" s="30">
        <v>6</v>
      </c>
      <c r="E192" s="30">
        <v>60</v>
      </c>
      <c r="F192" s="30" t="s">
        <v>626</v>
      </c>
      <c r="G192" s="30" t="s">
        <v>642</v>
      </c>
      <c r="H192" s="30">
        <v>2.3025850000000001</v>
      </c>
      <c r="I192" s="30">
        <v>1.7917590000000001</v>
      </c>
      <c r="J192" s="30">
        <v>1</v>
      </c>
      <c r="K192" s="30">
        <v>0</v>
      </c>
      <c r="L192" s="30">
        <v>0</v>
      </c>
      <c r="M192" s="30">
        <v>1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1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30">
        <v>0</v>
      </c>
      <c r="AG192" s="30">
        <v>0</v>
      </c>
      <c r="AH192" s="30">
        <v>0</v>
      </c>
      <c r="AI192" s="30">
        <v>0</v>
      </c>
      <c r="AJ192" s="30">
        <v>0</v>
      </c>
      <c r="AK192" s="30">
        <v>0</v>
      </c>
      <c r="AL192" s="30">
        <v>0</v>
      </c>
      <c r="AM192" s="30">
        <v>0</v>
      </c>
      <c r="AN192" s="30">
        <v>0</v>
      </c>
      <c r="AO192" s="30">
        <v>0</v>
      </c>
      <c r="AP192" s="30">
        <v>0</v>
      </c>
      <c r="AQ192" s="30">
        <v>0</v>
      </c>
      <c r="AR192" s="30">
        <v>0</v>
      </c>
      <c r="AS192" s="30">
        <v>0</v>
      </c>
      <c r="AT192" s="30">
        <v>0</v>
      </c>
      <c r="AU192" s="30">
        <v>0</v>
      </c>
      <c r="AV192" s="30">
        <v>0</v>
      </c>
      <c r="AW192" s="30">
        <v>0</v>
      </c>
      <c r="AX192" s="30">
        <v>0</v>
      </c>
      <c r="AY192" s="30">
        <v>0</v>
      </c>
    </row>
    <row r="193" spans="1:51">
      <c r="A193" s="30" t="s">
        <v>619</v>
      </c>
      <c r="B193" s="30" t="s">
        <v>713</v>
      </c>
      <c r="C193" s="30">
        <v>7</v>
      </c>
      <c r="D193" s="30">
        <v>24008</v>
      </c>
      <c r="E193" s="30">
        <v>168052.5</v>
      </c>
      <c r="F193" s="30" t="s">
        <v>621</v>
      </c>
      <c r="G193" s="30" t="s">
        <v>237</v>
      </c>
      <c r="H193" s="30">
        <v>1.94591</v>
      </c>
      <c r="I193" s="30">
        <v>10.08614</v>
      </c>
      <c r="J193" s="30">
        <v>1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1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30">
        <v>0</v>
      </c>
      <c r="AG193" s="30">
        <v>0</v>
      </c>
      <c r="AH193" s="30">
        <v>0</v>
      </c>
      <c r="AI193" s="30">
        <v>0</v>
      </c>
      <c r="AJ193" s="30">
        <v>0</v>
      </c>
      <c r="AK193" s="30">
        <v>0</v>
      </c>
      <c r="AL193" s="30">
        <v>0</v>
      </c>
      <c r="AM193" s="30">
        <v>0</v>
      </c>
      <c r="AN193" s="30">
        <v>0</v>
      </c>
      <c r="AO193" s="30">
        <v>0</v>
      </c>
      <c r="AP193" s="30">
        <v>0</v>
      </c>
      <c r="AQ193" s="30">
        <v>0</v>
      </c>
      <c r="AR193" s="30">
        <v>0</v>
      </c>
      <c r="AS193" s="30">
        <v>0</v>
      </c>
      <c r="AT193" s="30">
        <v>0</v>
      </c>
      <c r="AU193" s="30">
        <v>0</v>
      </c>
      <c r="AV193" s="30">
        <v>0</v>
      </c>
      <c r="AW193" s="30">
        <v>0</v>
      </c>
      <c r="AX193" s="30">
        <v>0</v>
      </c>
      <c r="AY193" s="30">
        <v>0</v>
      </c>
    </row>
    <row r="194" spans="1:51">
      <c r="A194" s="30" t="s">
        <v>619</v>
      </c>
      <c r="B194" s="30" t="s">
        <v>714</v>
      </c>
      <c r="C194" s="30">
        <v>6</v>
      </c>
      <c r="D194" s="30">
        <v>57155</v>
      </c>
      <c r="E194" s="30">
        <v>342945</v>
      </c>
      <c r="F194" s="30" t="s">
        <v>621</v>
      </c>
      <c r="G194" s="30" t="s">
        <v>237</v>
      </c>
      <c r="H194" s="30">
        <v>1.7917590000000001</v>
      </c>
      <c r="I194" s="30">
        <v>10.953519999999999</v>
      </c>
      <c r="J194" s="30">
        <v>1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1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  <c r="AE194" s="30">
        <v>0</v>
      </c>
      <c r="AF194" s="30">
        <v>0</v>
      </c>
      <c r="AG194" s="30">
        <v>0</v>
      </c>
      <c r="AH194" s="30">
        <v>0</v>
      </c>
      <c r="AI194" s="30">
        <v>0</v>
      </c>
      <c r="AJ194" s="30">
        <v>0</v>
      </c>
      <c r="AK194" s="30">
        <v>0</v>
      </c>
      <c r="AL194" s="30">
        <v>0</v>
      </c>
      <c r="AM194" s="30">
        <v>0</v>
      </c>
      <c r="AN194" s="30">
        <v>0</v>
      </c>
      <c r="AO194" s="30">
        <v>0</v>
      </c>
      <c r="AP194" s="30">
        <v>0</v>
      </c>
      <c r="AQ194" s="30">
        <v>0</v>
      </c>
      <c r="AR194" s="30">
        <v>0</v>
      </c>
      <c r="AS194" s="30">
        <v>0</v>
      </c>
      <c r="AT194" s="30">
        <v>0</v>
      </c>
      <c r="AU194" s="30">
        <v>0</v>
      </c>
      <c r="AV194" s="30">
        <v>0</v>
      </c>
      <c r="AW194" s="30">
        <v>0</v>
      </c>
      <c r="AX194" s="30">
        <v>0</v>
      </c>
      <c r="AY194" s="30">
        <v>0</v>
      </c>
    </row>
    <row r="195" spans="1:51">
      <c r="A195" s="30" t="s">
        <v>619</v>
      </c>
      <c r="B195" s="30" t="s">
        <v>715</v>
      </c>
      <c r="C195" s="30">
        <v>10</v>
      </c>
      <c r="D195" s="30">
        <v>20</v>
      </c>
      <c r="E195" s="30">
        <v>200</v>
      </c>
      <c r="F195" s="30" t="s">
        <v>621</v>
      </c>
      <c r="G195" s="30" t="s">
        <v>648</v>
      </c>
      <c r="H195" s="30">
        <v>2.3025850000000001</v>
      </c>
      <c r="I195" s="30">
        <v>2.9957319999999998</v>
      </c>
      <c r="J195" s="30">
        <v>1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30">
        <v>0</v>
      </c>
      <c r="AG195" s="30">
        <v>0</v>
      </c>
      <c r="AH195" s="30">
        <v>0</v>
      </c>
      <c r="AI195" s="30">
        <v>0</v>
      </c>
      <c r="AJ195" s="30">
        <v>0</v>
      </c>
      <c r="AK195" s="30">
        <v>0</v>
      </c>
      <c r="AL195" s="30">
        <v>0</v>
      </c>
      <c r="AM195" s="30">
        <v>0</v>
      </c>
      <c r="AN195" s="30">
        <v>0</v>
      </c>
      <c r="AO195" s="30">
        <v>1</v>
      </c>
      <c r="AP195" s="30">
        <v>0</v>
      </c>
      <c r="AQ195" s="30">
        <v>0</v>
      </c>
      <c r="AR195" s="30">
        <v>0</v>
      </c>
      <c r="AS195" s="30">
        <v>0</v>
      </c>
      <c r="AT195" s="30">
        <v>0</v>
      </c>
      <c r="AU195" s="30">
        <v>0</v>
      </c>
      <c r="AV195" s="30">
        <v>0</v>
      </c>
      <c r="AW195" s="30">
        <v>0</v>
      </c>
      <c r="AX195" s="30">
        <v>0</v>
      </c>
      <c r="AY195" s="30">
        <v>0</v>
      </c>
    </row>
    <row r="196" spans="1:51">
      <c r="A196" s="30" t="s">
        <v>619</v>
      </c>
      <c r="B196" s="30" t="s">
        <v>716</v>
      </c>
      <c r="C196" s="30">
        <v>4</v>
      </c>
      <c r="D196" s="30">
        <v>270</v>
      </c>
      <c r="E196" s="30">
        <v>1080</v>
      </c>
      <c r="F196" s="30" t="s">
        <v>621</v>
      </c>
      <c r="G196" s="30" t="s">
        <v>648</v>
      </c>
      <c r="H196" s="30">
        <v>1.3862939999999999</v>
      </c>
      <c r="I196" s="30">
        <v>5.5984220000000002</v>
      </c>
      <c r="J196" s="30">
        <v>1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30">
        <v>0</v>
      </c>
      <c r="AG196" s="30">
        <v>0</v>
      </c>
      <c r="AH196" s="30">
        <v>0</v>
      </c>
      <c r="AI196" s="30">
        <v>0</v>
      </c>
      <c r="AJ196" s="30">
        <v>0</v>
      </c>
      <c r="AK196" s="30">
        <v>0</v>
      </c>
      <c r="AL196" s="30">
        <v>0</v>
      </c>
      <c r="AM196" s="30">
        <v>0</v>
      </c>
      <c r="AN196" s="30">
        <v>0</v>
      </c>
      <c r="AO196" s="30">
        <v>1</v>
      </c>
      <c r="AP196" s="30">
        <v>0</v>
      </c>
      <c r="AQ196" s="30">
        <v>0</v>
      </c>
      <c r="AR196" s="30">
        <v>0</v>
      </c>
      <c r="AS196" s="30">
        <v>0</v>
      </c>
      <c r="AT196" s="30">
        <v>0</v>
      </c>
      <c r="AU196" s="30">
        <v>0</v>
      </c>
      <c r="AV196" s="30">
        <v>0</v>
      </c>
      <c r="AW196" s="30">
        <v>0</v>
      </c>
      <c r="AX196" s="30">
        <v>0</v>
      </c>
      <c r="AY196" s="30">
        <v>0</v>
      </c>
    </row>
    <row r="197" spans="1:51">
      <c r="A197" s="30" t="s">
        <v>619</v>
      </c>
      <c r="B197" s="30" t="s">
        <v>717</v>
      </c>
      <c r="C197" s="30">
        <v>5</v>
      </c>
      <c r="D197" s="30">
        <v>235</v>
      </c>
      <c r="E197" s="30">
        <v>1175</v>
      </c>
      <c r="F197" s="30" t="s">
        <v>621</v>
      </c>
      <c r="G197" s="30" t="s">
        <v>648</v>
      </c>
      <c r="H197" s="30">
        <v>1.6094379999999999</v>
      </c>
      <c r="I197" s="30">
        <v>5.4595859999999998</v>
      </c>
      <c r="J197" s="30">
        <v>1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  <c r="AE197" s="30">
        <v>0</v>
      </c>
      <c r="AF197" s="30">
        <v>0</v>
      </c>
      <c r="AG197" s="30">
        <v>0</v>
      </c>
      <c r="AH197" s="30">
        <v>0</v>
      </c>
      <c r="AI197" s="30">
        <v>0</v>
      </c>
      <c r="AJ197" s="30">
        <v>0</v>
      </c>
      <c r="AK197" s="30">
        <v>0</v>
      </c>
      <c r="AL197" s="30">
        <v>0</v>
      </c>
      <c r="AM197" s="30">
        <v>0</v>
      </c>
      <c r="AN197" s="30">
        <v>0</v>
      </c>
      <c r="AO197" s="30">
        <v>1</v>
      </c>
      <c r="AP197" s="30">
        <v>0</v>
      </c>
      <c r="AQ197" s="30">
        <v>0</v>
      </c>
      <c r="AR197" s="30">
        <v>0</v>
      </c>
      <c r="AS197" s="30">
        <v>0</v>
      </c>
      <c r="AT197" s="30">
        <v>0</v>
      </c>
      <c r="AU197" s="30">
        <v>0</v>
      </c>
      <c r="AV197" s="30">
        <v>0</v>
      </c>
      <c r="AW197" s="30">
        <v>0</v>
      </c>
      <c r="AX197" s="30">
        <v>0</v>
      </c>
      <c r="AY197" s="30">
        <v>0</v>
      </c>
    </row>
    <row r="198" spans="1:51">
      <c r="A198" s="30" t="s">
        <v>619</v>
      </c>
      <c r="B198" s="30" t="s">
        <v>718</v>
      </c>
      <c r="C198" s="30">
        <v>6</v>
      </c>
      <c r="D198" s="30">
        <v>332</v>
      </c>
      <c r="E198" s="30">
        <v>1992</v>
      </c>
      <c r="F198" s="30" t="s">
        <v>621</v>
      </c>
      <c r="G198" s="30" t="s">
        <v>648</v>
      </c>
      <c r="H198" s="30">
        <v>1.7917590000000001</v>
      </c>
      <c r="I198" s="30">
        <v>5.8051349999999999</v>
      </c>
      <c r="J198" s="30">
        <v>1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30">
        <v>0</v>
      </c>
      <c r="AG198" s="30">
        <v>0</v>
      </c>
      <c r="AH198" s="30">
        <v>0</v>
      </c>
      <c r="AI198" s="30">
        <v>0</v>
      </c>
      <c r="AJ198" s="30">
        <v>0</v>
      </c>
      <c r="AK198" s="30">
        <v>0</v>
      </c>
      <c r="AL198" s="30">
        <v>0</v>
      </c>
      <c r="AM198" s="30">
        <v>0</v>
      </c>
      <c r="AN198" s="30">
        <v>0</v>
      </c>
      <c r="AO198" s="30">
        <v>1</v>
      </c>
      <c r="AP198" s="30">
        <v>0</v>
      </c>
      <c r="AQ198" s="30">
        <v>0</v>
      </c>
      <c r="AR198" s="30">
        <v>0</v>
      </c>
      <c r="AS198" s="30">
        <v>0</v>
      </c>
      <c r="AT198" s="30">
        <v>0</v>
      </c>
      <c r="AU198" s="30">
        <v>0</v>
      </c>
      <c r="AV198" s="30">
        <v>0</v>
      </c>
      <c r="AW198" s="30">
        <v>0</v>
      </c>
      <c r="AX198" s="30">
        <v>0</v>
      </c>
      <c r="AY198" s="30">
        <v>0</v>
      </c>
    </row>
    <row r="199" spans="1:51">
      <c r="A199" s="30" t="s">
        <v>619</v>
      </c>
      <c r="B199" s="30" t="s">
        <v>719</v>
      </c>
      <c r="C199" s="30">
        <v>7</v>
      </c>
      <c r="D199" s="30">
        <v>1351</v>
      </c>
      <c r="E199" s="30">
        <v>9457</v>
      </c>
      <c r="F199" s="30" t="s">
        <v>621</v>
      </c>
      <c r="G199" s="30" t="s">
        <v>648</v>
      </c>
      <c r="H199" s="30">
        <v>1.94591</v>
      </c>
      <c r="I199" s="30">
        <v>7.2085999999999997</v>
      </c>
      <c r="J199" s="30">
        <v>1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30">
        <v>0</v>
      </c>
      <c r="AG199" s="30">
        <v>0</v>
      </c>
      <c r="AH199" s="30">
        <v>0</v>
      </c>
      <c r="AI199" s="30">
        <v>0</v>
      </c>
      <c r="AJ199" s="30">
        <v>0</v>
      </c>
      <c r="AK199" s="30">
        <v>0</v>
      </c>
      <c r="AL199" s="30">
        <v>0</v>
      </c>
      <c r="AM199" s="30">
        <v>0</v>
      </c>
      <c r="AN199" s="30">
        <v>0</v>
      </c>
      <c r="AO199" s="30">
        <v>1</v>
      </c>
      <c r="AP199" s="30">
        <v>0</v>
      </c>
      <c r="AQ199" s="30">
        <v>0</v>
      </c>
      <c r="AR199" s="30">
        <v>0</v>
      </c>
      <c r="AS199" s="30">
        <v>0</v>
      </c>
      <c r="AT199" s="30">
        <v>0</v>
      </c>
      <c r="AU199" s="30">
        <v>0</v>
      </c>
      <c r="AV199" s="30">
        <v>0</v>
      </c>
      <c r="AW199" s="30">
        <v>0</v>
      </c>
      <c r="AX199" s="30">
        <v>0</v>
      </c>
      <c r="AY199" s="30">
        <v>0</v>
      </c>
    </row>
    <row r="200" spans="1:51">
      <c r="A200" s="30" t="s">
        <v>619</v>
      </c>
      <c r="B200" s="30" t="s">
        <v>720</v>
      </c>
      <c r="C200" s="30">
        <v>8</v>
      </c>
      <c r="D200" s="30">
        <v>175</v>
      </c>
      <c r="E200" s="30">
        <v>1400</v>
      </c>
      <c r="F200" s="30" t="s">
        <v>621</v>
      </c>
      <c r="G200" s="30" t="s">
        <v>648</v>
      </c>
      <c r="H200" s="30">
        <v>2.0794419999999998</v>
      </c>
      <c r="I200" s="30">
        <v>5.1647860000000003</v>
      </c>
      <c r="J200" s="30">
        <v>1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  <c r="AE200" s="30">
        <v>0</v>
      </c>
      <c r="AF200" s="30">
        <v>0</v>
      </c>
      <c r="AG200" s="30">
        <v>0</v>
      </c>
      <c r="AH200" s="30">
        <v>0</v>
      </c>
      <c r="AI200" s="30">
        <v>0</v>
      </c>
      <c r="AJ200" s="30">
        <v>0</v>
      </c>
      <c r="AK200" s="30">
        <v>0</v>
      </c>
      <c r="AL200" s="30">
        <v>0</v>
      </c>
      <c r="AM200" s="30">
        <v>0</v>
      </c>
      <c r="AN200" s="30">
        <v>0</v>
      </c>
      <c r="AO200" s="30">
        <v>1</v>
      </c>
      <c r="AP200" s="30">
        <v>0</v>
      </c>
      <c r="AQ200" s="30">
        <v>0</v>
      </c>
      <c r="AR200" s="30">
        <v>0</v>
      </c>
      <c r="AS200" s="30">
        <v>0</v>
      </c>
      <c r="AT200" s="30">
        <v>0</v>
      </c>
      <c r="AU200" s="30">
        <v>0</v>
      </c>
      <c r="AV200" s="30">
        <v>0</v>
      </c>
      <c r="AW200" s="30">
        <v>0</v>
      </c>
      <c r="AX200" s="30">
        <v>0</v>
      </c>
      <c r="AY200" s="30">
        <v>0</v>
      </c>
    </row>
    <row r="201" spans="1:51">
      <c r="A201" s="30" t="s">
        <v>619</v>
      </c>
      <c r="B201" s="30" t="s">
        <v>721</v>
      </c>
      <c r="C201" s="30">
        <v>1</v>
      </c>
      <c r="D201" s="30">
        <v>3221</v>
      </c>
      <c r="E201" s="30">
        <v>3221</v>
      </c>
      <c r="F201" s="30" t="s">
        <v>621</v>
      </c>
      <c r="G201" s="30" t="s">
        <v>237</v>
      </c>
      <c r="H201" s="30">
        <v>0</v>
      </c>
      <c r="I201" s="30">
        <v>8.0774469999999994</v>
      </c>
      <c r="J201" s="30">
        <v>1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1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30">
        <v>0</v>
      </c>
      <c r="AG201" s="30">
        <v>0</v>
      </c>
      <c r="AH201" s="30">
        <v>0</v>
      </c>
      <c r="AI201" s="30">
        <v>0</v>
      </c>
      <c r="AJ201" s="30">
        <v>0</v>
      </c>
      <c r="AK201" s="30">
        <v>0</v>
      </c>
      <c r="AL201" s="30">
        <v>0</v>
      </c>
      <c r="AM201" s="30">
        <v>0</v>
      </c>
      <c r="AN201" s="30">
        <v>0</v>
      </c>
      <c r="AO201" s="30">
        <v>0</v>
      </c>
      <c r="AP201" s="30">
        <v>0</v>
      </c>
      <c r="AQ201" s="30">
        <v>0</v>
      </c>
      <c r="AR201" s="30">
        <v>0</v>
      </c>
      <c r="AS201" s="30">
        <v>0</v>
      </c>
      <c r="AT201" s="30">
        <v>0</v>
      </c>
      <c r="AU201" s="30">
        <v>0</v>
      </c>
      <c r="AV201" s="30">
        <v>0</v>
      </c>
      <c r="AW201" s="30">
        <v>0</v>
      </c>
      <c r="AX201" s="30">
        <v>0</v>
      </c>
      <c r="AY201" s="30">
        <v>0</v>
      </c>
    </row>
    <row r="202" spans="1:51">
      <c r="A202" s="30" t="s">
        <v>619</v>
      </c>
      <c r="B202" s="30" t="s">
        <v>722</v>
      </c>
      <c r="C202" s="30">
        <v>15</v>
      </c>
      <c r="D202" s="30">
        <v>143</v>
      </c>
      <c r="E202" s="30">
        <v>2145</v>
      </c>
      <c r="F202" s="30" t="s">
        <v>621</v>
      </c>
      <c r="G202" s="30" t="s">
        <v>237</v>
      </c>
      <c r="H202" s="30">
        <v>2.7080500000000001</v>
      </c>
      <c r="I202" s="30">
        <v>4.9628449999999997</v>
      </c>
      <c r="J202" s="30">
        <v>1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1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30">
        <v>0</v>
      </c>
      <c r="AG202" s="30">
        <v>0</v>
      </c>
      <c r="AH202" s="30">
        <v>0</v>
      </c>
      <c r="AI202" s="30">
        <v>0</v>
      </c>
      <c r="AJ202" s="30">
        <v>0</v>
      </c>
      <c r="AK202" s="30">
        <v>0</v>
      </c>
      <c r="AL202" s="30">
        <v>0</v>
      </c>
      <c r="AM202" s="30">
        <v>0</v>
      </c>
      <c r="AN202" s="30">
        <v>0</v>
      </c>
      <c r="AO202" s="30">
        <v>0</v>
      </c>
      <c r="AP202" s="30">
        <v>0</v>
      </c>
      <c r="AQ202" s="30">
        <v>0</v>
      </c>
      <c r="AR202" s="30">
        <v>0</v>
      </c>
      <c r="AS202" s="30">
        <v>0</v>
      </c>
      <c r="AT202" s="30">
        <v>0</v>
      </c>
      <c r="AU202" s="30">
        <v>0</v>
      </c>
      <c r="AV202" s="30">
        <v>0</v>
      </c>
      <c r="AW202" s="30">
        <v>0</v>
      </c>
      <c r="AX202" s="30">
        <v>0</v>
      </c>
      <c r="AY202" s="30">
        <v>0</v>
      </c>
    </row>
    <row r="203" spans="1:51">
      <c r="A203" s="30" t="s">
        <v>619</v>
      </c>
      <c r="B203" s="30" t="s">
        <v>723</v>
      </c>
      <c r="C203" s="30">
        <v>15</v>
      </c>
      <c r="D203" s="30">
        <v>25</v>
      </c>
      <c r="E203" s="30">
        <v>375</v>
      </c>
      <c r="F203" s="30" t="s">
        <v>621</v>
      </c>
      <c r="G203" s="30" t="s">
        <v>237</v>
      </c>
      <c r="H203" s="30">
        <v>2.7080500000000001</v>
      </c>
      <c r="I203" s="30">
        <v>3.2188759999999998</v>
      </c>
      <c r="J203" s="30">
        <v>1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1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30">
        <v>0</v>
      </c>
      <c r="AG203" s="30">
        <v>0</v>
      </c>
      <c r="AH203" s="30">
        <v>0</v>
      </c>
      <c r="AI203" s="30">
        <v>0</v>
      </c>
      <c r="AJ203" s="30">
        <v>0</v>
      </c>
      <c r="AK203" s="30">
        <v>0</v>
      </c>
      <c r="AL203" s="30">
        <v>0</v>
      </c>
      <c r="AM203" s="30">
        <v>0</v>
      </c>
      <c r="AN203" s="30">
        <v>0</v>
      </c>
      <c r="AO203" s="30">
        <v>0</v>
      </c>
      <c r="AP203" s="30">
        <v>0</v>
      </c>
      <c r="AQ203" s="30">
        <v>0</v>
      </c>
      <c r="AR203" s="30">
        <v>0</v>
      </c>
      <c r="AS203" s="30">
        <v>0</v>
      </c>
      <c r="AT203" s="30">
        <v>0</v>
      </c>
      <c r="AU203" s="30">
        <v>0</v>
      </c>
      <c r="AV203" s="30">
        <v>0</v>
      </c>
      <c r="AW203" s="30">
        <v>0</v>
      </c>
      <c r="AX203" s="30">
        <v>0</v>
      </c>
      <c r="AY203" s="30">
        <v>0</v>
      </c>
    </row>
    <row r="204" spans="1:51">
      <c r="A204" s="30" t="s">
        <v>619</v>
      </c>
      <c r="B204" s="30" t="s">
        <v>724</v>
      </c>
      <c r="C204" s="30">
        <v>3</v>
      </c>
      <c r="D204" s="30">
        <v>2105</v>
      </c>
      <c r="E204" s="30">
        <v>6315</v>
      </c>
      <c r="F204" s="30" t="s">
        <v>621</v>
      </c>
      <c r="G204" s="30" t="s">
        <v>237</v>
      </c>
      <c r="H204" s="30">
        <v>1.0986119999999999</v>
      </c>
      <c r="I204" s="30">
        <v>7.6520710000000003</v>
      </c>
      <c r="J204" s="30">
        <v>1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1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30">
        <v>0</v>
      </c>
      <c r="AG204" s="30">
        <v>0</v>
      </c>
      <c r="AH204" s="30">
        <v>0</v>
      </c>
      <c r="AI204" s="30">
        <v>0</v>
      </c>
      <c r="AJ204" s="30">
        <v>0</v>
      </c>
      <c r="AK204" s="30">
        <v>0</v>
      </c>
      <c r="AL204" s="30">
        <v>0</v>
      </c>
      <c r="AM204" s="30">
        <v>0</v>
      </c>
      <c r="AN204" s="30">
        <v>0</v>
      </c>
      <c r="AO204" s="30">
        <v>0</v>
      </c>
      <c r="AP204" s="30">
        <v>0</v>
      </c>
      <c r="AQ204" s="30">
        <v>0</v>
      </c>
      <c r="AR204" s="30">
        <v>0</v>
      </c>
      <c r="AS204" s="30">
        <v>0</v>
      </c>
      <c r="AT204" s="30">
        <v>0</v>
      </c>
      <c r="AU204" s="30">
        <v>0</v>
      </c>
      <c r="AV204" s="30">
        <v>0</v>
      </c>
      <c r="AW204" s="30">
        <v>0</v>
      </c>
      <c r="AX204" s="30">
        <v>0</v>
      </c>
      <c r="AY204" s="30">
        <v>0</v>
      </c>
    </row>
    <row r="205" spans="1:51">
      <c r="A205" s="30" t="s">
        <v>619</v>
      </c>
      <c r="B205" s="30" t="s">
        <v>725</v>
      </c>
      <c r="C205" s="30">
        <v>25</v>
      </c>
      <c r="D205" s="30">
        <v>34</v>
      </c>
      <c r="E205" s="30">
        <v>850</v>
      </c>
      <c r="F205" s="30" t="s">
        <v>621</v>
      </c>
      <c r="G205" s="30" t="s">
        <v>237</v>
      </c>
      <c r="H205" s="30">
        <v>3.2188759999999998</v>
      </c>
      <c r="I205" s="30">
        <v>3.5263610000000001</v>
      </c>
      <c r="J205" s="30">
        <v>1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1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30">
        <v>0</v>
      </c>
      <c r="AG205" s="30">
        <v>0</v>
      </c>
      <c r="AH205" s="30">
        <v>0</v>
      </c>
      <c r="AI205" s="30">
        <v>0</v>
      </c>
      <c r="AJ205" s="30">
        <v>0</v>
      </c>
      <c r="AK205" s="30">
        <v>0</v>
      </c>
      <c r="AL205" s="30">
        <v>0</v>
      </c>
      <c r="AM205" s="30">
        <v>0</v>
      </c>
      <c r="AN205" s="30">
        <v>0</v>
      </c>
      <c r="AO205" s="30">
        <v>0</v>
      </c>
      <c r="AP205" s="30">
        <v>0</v>
      </c>
      <c r="AQ205" s="30">
        <v>0</v>
      </c>
      <c r="AR205" s="30">
        <v>0</v>
      </c>
      <c r="AS205" s="30">
        <v>0</v>
      </c>
      <c r="AT205" s="30">
        <v>0</v>
      </c>
      <c r="AU205" s="30">
        <v>0</v>
      </c>
      <c r="AV205" s="30">
        <v>0</v>
      </c>
      <c r="AW205" s="30">
        <v>0</v>
      </c>
      <c r="AX205" s="30">
        <v>0</v>
      </c>
      <c r="AY205" s="30">
        <v>0</v>
      </c>
    </row>
    <row r="206" spans="1:51">
      <c r="A206" s="30" t="s">
        <v>619</v>
      </c>
      <c r="B206" s="30" t="s">
        <v>726</v>
      </c>
      <c r="C206" s="30">
        <v>10</v>
      </c>
      <c r="D206" s="30">
        <v>43</v>
      </c>
      <c r="E206" s="30">
        <v>425</v>
      </c>
      <c r="F206" s="30" t="s">
        <v>621</v>
      </c>
      <c r="G206" s="30" t="s">
        <v>237</v>
      </c>
      <c r="H206" s="30">
        <v>2.3025850000000001</v>
      </c>
      <c r="I206" s="30">
        <v>3.7612000000000001</v>
      </c>
      <c r="J206" s="30">
        <v>1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1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30">
        <v>0</v>
      </c>
      <c r="AG206" s="30">
        <v>0</v>
      </c>
      <c r="AH206" s="30">
        <v>0</v>
      </c>
      <c r="AI206" s="30">
        <v>0</v>
      </c>
      <c r="AJ206" s="30">
        <v>0</v>
      </c>
      <c r="AK206" s="30">
        <v>0</v>
      </c>
      <c r="AL206" s="30">
        <v>0</v>
      </c>
      <c r="AM206" s="30">
        <v>0</v>
      </c>
      <c r="AN206" s="30">
        <v>0</v>
      </c>
      <c r="AO206" s="30">
        <v>0</v>
      </c>
      <c r="AP206" s="30">
        <v>0</v>
      </c>
      <c r="AQ206" s="30">
        <v>0</v>
      </c>
      <c r="AR206" s="30">
        <v>0</v>
      </c>
      <c r="AS206" s="30">
        <v>0</v>
      </c>
      <c r="AT206" s="30">
        <v>0</v>
      </c>
      <c r="AU206" s="30">
        <v>0</v>
      </c>
      <c r="AV206" s="30">
        <v>0</v>
      </c>
      <c r="AW206" s="30">
        <v>0</v>
      </c>
      <c r="AX206" s="30">
        <v>0</v>
      </c>
      <c r="AY206" s="30">
        <v>0</v>
      </c>
    </row>
    <row r="207" spans="1:51">
      <c r="A207" s="30" t="s">
        <v>619</v>
      </c>
      <c r="B207" s="30" t="s">
        <v>727</v>
      </c>
      <c r="C207" s="30">
        <v>30</v>
      </c>
      <c r="D207" s="30">
        <v>9</v>
      </c>
      <c r="E207" s="30">
        <v>270</v>
      </c>
      <c r="F207" s="30" t="s">
        <v>626</v>
      </c>
      <c r="G207" s="30" t="s">
        <v>728</v>
      </c>
      <c r="H207" s="30">
        <v>3.4011969999999998</v>
      </c>
      <c r="I207" s="30">
        <v>2.197225</v>
      </c>
      <c r="J207" s="30">
        <v>1</v>
      </c>
      <c r="K207" s="30">
        <v>0</v>
      </c>
      <c r="L207" s="30">
        <v>0</v>
      </c>
      <c r="M207" s="30">
        <v>1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30">
        <v>0</v>
      </c>
      <c r="AG207" s="30">
        <v>0</v>
      </c>
      <c r="AH207" s="30">
        <v>0</v>
      </c>
      <c r="AI207" s="30">
        <v>0</v>
      </c>
      <c r="AJ207" s="30">
        <v>0</v>
      </c>
      <c r="AK207" s="30">
        <v>1</v>
      </c>
      <c r="AL207" s="30">
        <v>0</v>
      </c>
      <c r="AM207" s="30">
        <v>0</v>
      </c>
      <c r="AN207" s="30">
        <v>0</v>
      </c>
      <c r="AO207" s="30">
        <v>0</v>
      </c>
      <c r="AP207" s="30">
        <v>0</v>
      </c>
      <c r="AQ207" s="30">
        <v>0</v>
      </c>
      <c r="AR207" s="30">
        <v>0</v>
      </c>
      <c r="AS207" s="30">
        <v>0</v>
      </c>
      <c r="AT207" s="30">
        <v>0</v>
      </c>
      <c r="AU207" s="30">
        <v>0</v>
      </c>
      <c r="AV207" s="30">
        <v>0</v>
      </c>
      <c r="AW207" s="30">
        <v>0</v>
      </c>
      <c r="AX207" s="30">
        <v>0</v>
      </c>
      <c r="AY207" s="30">
        <v>0</v>
      </c>
    </row>
    <row r="208" spans="1:51">
      <c r="A208" s="30" t="s">
        <v>619</v>
      </c>
      <c r="B208" s="30" t="s">
        <v>729</v>
      </c>
      <c r="C208" s="30">
        <v>5</v>
      </c>
      <c r="D208" s="30">
        <v>34</v>
      </c>
      <c r="E208" s="30">
        <v>170</v>
      </c>
      <c r="F208" s="30" t="s">
        <v>621</v>
      </c>
      <c r="G208" s="30" t="s">
        <v>648</v>
      </c>
      <c r="H208" s="30">
        <v>1.6094379999999999</v>
      </c>
      <c r="I208" s="30">
        <v>3.5263610000000001</v>
      </c>
      <c r="J208" s="30">
        <v>1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  <c r="AE208" s="30">
        <v>0</v>
      </c>
      <c r="AF208" s="30">
        <v>0</v>
      </c>
      <c r="AG208" s="30">
        <v>0</v>
      </c>
      <c r="AH208" s="30">
        <v>0</v>
      </c>
      <c r="AI208" s="30">
        <v>0</v>
      </c>
      <c r="AJ208" s="30">
        <v>0</v>
      </c>
      <c r="AK208" s="30">
        <v>0</v>
      </c>
      <c r="AL208" s="30">
        <v>0</v>
      </c>
      <c r="AM208" s="30">
        <v>0</v>
      </c>
      <c r="AN208" s="30">
        <v>0</v>
      </c>
      <c r="AO208" s="30">
        <v>1</v>
      </c>
      <c r="AP208" s="30">
        <v>0</v>
      </c>
      <c r="AQ208" s="30">
        <v>0</v>
      </c>
      <c r="AR208" s="30">
        <v>0</v>
      </c>
      <c r="AS208" s="30">
        <v>0</v>
      </c>
      <c r="AT208" s="30">
        <v>0</v>
      </c>
      <c r="AU208" s="30">
        <v>0</v>
      </c>
      <c r="AV208" s="30">
        <v>0</v>
      </c>
      <c r="AW208" s="30">
        <v>0</v>
      </c>
      <c r="AX208" s="30">
        <v>0</v>
      </c>
      <c r="AY208" s="30">
        <v>0</v>
      </c>
    </row>
    <row r="209" spans="1:51">
      <c r="A209" s="30" t="s">
        <v>619</v>
      </c>
      <c r="B209" s="30" t="s">
        <v>730</v>
      </c>
      <c r="C209" s="30">
        <v>6</v>
      </c>
      <c r="D209" s="30">
        <v>88</v>
      </c>
      <c r="E209" s="30">
        <v>528</v>
      </c>
      <c r="F209" s="30" t="s">
        <v>621</v>
      </c>
      <c r="G209" s="30" t="s">
        <v>648</v>
      </c>
      <c r="H209" s="30">
        <v>1.7917590000000001</v>
      </c>
      <c r="I209" s="30">
        <v>4.4773370000000003</v>
      </c>
      <c r="J209" s="30">
        <v>1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30">
        <v>0</v>
      </c>
      <c r="AG209" s="30">
        <v>0</v>
      </c>
      <c r="AH209" s="30">
        <v>0</v>
      </c>
      <c r="AI209" s="30">
        <v>0</v>
      </c>
      <c r="AJ209" s="30">
        <v>0</v>
      </c>
      <c r="AK209" s="30">
        <v>0</v>
      </c>
      <c r="AL209" s="30">
        <v>0</v>
      </c>
      <c r="AM209" s="30">
        <v>0</v>
      </c>
      <c r="AN209" s="30">
        <v>0</v>
      </c>
      <c r="AO209" s="30">
        <v>1</v>
      </c>
      <c r="AP209" s="30">
        <v>0</v>
      </c>
      <c r="AQ209" s="30">
        <v>0</v>
      </c>
      <c r="AR209" s="30">
        <v>0</v>
      </c>
      <c r="AS209" s="30">
        <v>0</v>
      </c>
      <c r="AT209" s="30">
        <v>0</v>
      </c>
      <c r="AU209" s="30">
        <v>0</v>
      </c>
      <c r="AV209" s="30">
        <v>0</v>
      </c>
      <c r="AW209" s="30">
        <v>0</v>
      </c>
      <c r="AX209" s="30">
        <v>0</v>
      </c>
      <c r="AY209" s="30">
        <v>0</v>
      </c>
    </row>
    <row r="210" spans="1:51">
      <c r="A210" s="30" t="s">
        <v>619</v>
      </c>
      <c r="B210" s="30" t="s">
        <v>731</v>
      </c>
      <c r="C210" s="30">
        <v>7</v>
      </c>
      <c r="D210" s="30">
        <v>128</v>
      </c>
      <c r="E210" s="30">
        <v>896</v>
      </c>
      <c r="F210" s="30" t="s">
        <v>621</v>
      </c>
      <c r="G210" s="30" t="s">
        <v>648</v>
      </c>
      <c r="H210" s="30">
        <v>1.94591</v>
      </c>
      <c r="I210" s="30">
        <v>4.8520300000000001</v>
      </c>
      <c r="J210" s="30">
        <v>1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30">
        <v>0</v>
      </c>
      <c r="AG210" s="30">
        <v>0</v>
      </c>
      <c r="AH210" s="30">
        <v>0</v>
      </c>
      <c r="AI210" s="30">
        <v>0</v>
      </c>
      <c r="AJ210" s="30">
        <v>0</v>
      </c>
      <c r="AK210" s="30">
        <v>0</v>
      </c>
      <c r="AL210" s="30">
        <v>0</v>
      </c>
      <c r="AM210" s="30">
        <v>0</v>
      </c>
      <c r="AN210" s="30">
        <v>0</v>
      </c>
      <c r="AO210" s="30">
        <v>1</v>
      </c>
      <c r="AP210" s="30">
        <v>0</v>
      </c>
      <c r="AQ210" s="30">
        <v>0</v>
      </c>
      <c r="AR210" s="30">
        <v>0</v>
      </c>
      <c r="AS210" s="30">
        <v>0</v>
      </c>
      <c r="AT210" s="30">
        <v>0</v>
      </c>
      <c r="AU210" s="30">
        <v>0</v>
      </c>
      <c r="AV210" s="30">
        <v>0</v>
      </c>
      <c r="AW210" s="30">
        <v>0</v>
      </c>
      <c r="AX210" s="30">
        <v>0</v>
      </c>
      <c r="AY210" s="30">
        <v>0</v>
      </c>
    </row>
    <row r="211" spans="1:51">
      <c r="A211" s="30" t="s">
        <v>619</v>
      </c>
      <c r="B211" s="30" t="s">
        <v>732</v>
      </c>
      <c r="C211" s="30">
        <v>8</v>
      </c>
      <c r="D211" s="30">
        <v>197</v>
      </c>
      <c r="E211" s="30">
        <v>1576</v>
      </c>
      <c r="F211" s="30" t="s">
        <v>621</v>
      </c>
      <c r="G211" s="30" t="s">
        <v>648</v>
      </c>
      <c r="H211" s="30">
        <v>2.0794419999999998</v>
      </c>
      <c r="I211" s="30">
        <v>5.2832039999999996</v>
      </c>
      <c r="J211" s="30">
        <v>1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30">
        <v>0</v>
      </c>
      <c r="AG211" s="30">
        <v>0</v>
      </c>
      <c r="AH211" s="30">
        <v>0</v>
      </c>
      <c r="AI211" s="30">
        <v>0</v>
      </c>
      <c r="AJ211" s="30">
        <v>0</v>
      </c>
      <c r="AK211" s="30">
        <v>0</v>
      </c>
      <c r="AL211" s="30">
        <v>0</v>
      </c>
      <c r="AM211" s="30">
        <v>0</v>
      </c>
      <c r="AN211" s="30">
        <v>0</v>
      </c>
      <c r="AO211" s="30">
        <v>1</v>
      </c>
      <c r="AP211" s="30">
        <v>0</v>
      </c>
      <c r="AQ211" s="30">
        <v>0</v>
      </c>
      <c r="AR211" s="30">
        <v>0</v>
      </c>
      <c r="AS211" s="30">
        <v>0</v>
      </c>
      <c r="AT211" s="30">
        <v>0</v>
      </c>
      <c r="AU211" s="30">
        <v>0</v>
      </c>
      <c r="AV211" s="30">
        <v>0</v>
      </c>
      <c r="AW211" s="30">
        <v>0</v>
      </c>
      <c r="AX211" s="30">
        <v>0</v>
      </c>
      <c r="AY211" s="30">
        <v>0</v>
      </c>
    </row>
    <row r="212" spans="1:51">
      <c r="A212" s="30" t="s">
        <v>619</v>
      </c>
      <c r="B212" s="30" t="s">
        <v>733</v>
      </c>
      <c r="C212" s="30">
        <v>1</v>
      </c>
      <c r="D212" s="30">
        <v>247</v>
      </c>
      <c r="E212" s="30">
        <v>245.7</v>
      </c>
      <c r="F212" s="30" t="s">
        <v>626</v>
      </c>
      <c r="G212" s="30" t="s">
        <v>627</v>
      </c>
      <c r="H212" s="30">
        <v>0</v>
      </c>
      <c r="I212" s="30">
        <v>5.5093880000000004</v>
      </c>
      <c r="J212" s="30">
        <v>1</v>
      </c>
      <c r="K212" s="30">
        <v>0</v>
      </c>
      <c r="L212" s="30">
        <v>0</v>
      </c>
      <c r="M212" s="30">
        <v>1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30">
        <v>0</v>
      </c>
      <c r="AG212" s="30">
        <v>0</v>
      </c>
      <c r="AH212" s="30">
        <v>0</v>
      </c>
      <c r="AI212" s="30">
        <v>0</v>
      </c>
      <c r="AJ212" s="30">
        <v>1</v>
      </c>
      <c r="AK212" s="30">
        <v>0</v>
      </c>
      <c r="AL212" s="30">
        <v>0</v>
      </c>
      <c r="AM212" s="30">
        <v>0</v>
      </c>
      <c r="AN212" s="30">
        <v>0</v>
      </c>
      <c r="AO212" s="30">
        <v>0</v>
      </c>
      <c r="AP212" s="30">
        <v>0</v>
      </c>
      <c r="AQ212" s="30">
        <v>0</v>
      </c>
      <c r="AR212" s="30">
        <v>0</v>
      </c>
      <c r="AS212" s="30">
        <v>0</v>
      </c>
      <c r="AT212" s="30">
        <v>0</v>
      </c>
      <c r="AU212" s="30">
        <v>0</v>
      </c>
      <c r="AV212" s="30">
        <v>0</v>
      </c>
      <c r="AW212" s="30">
        <v>0</v>
      </c>
      <c r="AX212" s="30">
        <v>0</v>
      </c>
      <c r="AY212" s="30">
        <v>0</v>
      </c>
    </row>
    <row r="213" spans="1:51">
      <c r="A213" s="30" t="s">
        <v>619</v>
      </c>
      <c r="B213" s="30" t="s">
        <v>734</v>
      </c>
      <c r="C213" s="30">
        <v>1</v>
      </c>
      <c r="D213" s="30">
        <v>49</v>
      </c>
      <c r="E213" s="30">
        <v>48.8</v>
      </c>
      <c r="F213" s="30" t="s">
        <v>626</v>
      </c>
      <c r="G213" s="30" t="s">
        <v>627</v>
      </c>
      <c r="H213" s="30">
        <v>0</v>
      </c>
      <c r="I213" s="30">
        <v>3.8918200000000001</v>
      </c>
      <c r="J213" s="30">
        <v>1</v>
      </c>
      <c r="K213" s="30">
        <v>0</v>
      </c>
      <c r="L213" s="30">
        <v>0</v>
      </c>
      <c r="M213" s="30">
        <v>1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30">
        <v>0</v>
      </c>
      <c r="AG213" s="30">
        <v>0</v>
      </c>
      <c r="AH213" s="30">
        <v>0</v>
      </c>
      <c r="AI213" s="30">
        <v>0</v>
      </c>
      <c r="AJ213" s="30">
        <v>1</v>
      </c>
      <c r="AK213" s="30">
        <v>0</v>
      </c>
      <c r="AL213" s="30">
        <v>0</v>
      </c>
      <c r="AM213" s="30">
        <v>0</v>
      </c>
      <c r="AN213" s="30">
        <v>0</v>
      </c>
      <c r="AO213" s="30">
        <v>0</v>
      </c>
      <c r="AP213" s="30">
        <v>0</v>
      </c>
      <c r="AQ213" s="30">
        <v>0</v>
      </c>
      <c r="AR213" s="30">
        <v>0</v>
      </c>
      <c r="AS213" s="30">
        <v>0</v>
      </c>
      <c r="AT213" s="30">
        <v>0</v>
      </c>
      <c r="AU213" s="30">
        <v>0</v>
      </c>
      <c r="AV213" s="30">
        <v>0</v>
      </c>
      <c r="AW213" s="30">
        <v>0</v>
      </c>
      <c r="AX213" s="30">
        <v>0</v>
      </c>
      <c r="AY213" s="30">
        <v>0</v>
      </c>
    </row>
    <row r="214" spans="1:51">
      <c r="A214" s="30" t="s">
        <v>619</v>
      </c>
      <c r="B214" s="30" t="s">
        <v>735</v>
      </c>
      <c r="C214" s="30">
        <v>1</v>
      </c>
      <c r="D214" s="30">
        <v>245</v>
      </c>
      <c r="E214" s="30">
        <v>244.4</v>
      </c>
      <c r="F214" s="30" t="s">
        <v>626</v>
      </c>
      <c r="G214" s="30" t="s">
        <v>627</v>
      </c>
      <c r="H214" s="30">
        <v>0</v>
      </c>
      <c r="I214" s="30">
        <v>5.501258</v>
      </c>
      <c r="J214" s="30">
        <v>1</v>
      </c>
      <c r="K214" s="30">
        <v>0</v>
      </c>
      <c r="L214" s="30">
        <v>0</v>
      </c>
      <c r="M214" s="30">
        <v>1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30">
        <v>0</v>
      </c>
      <c r="AG214" s="30">
        <v>0</v>
      </c>
      <c r="AH214" s="30">
        <v>0</v>
      </c>
      <c r="AI214" s="30">
        <v>0</v>
      </c>
      <c r="AJ214" s="30">
        <v>1</v>
      </c>
      <c r="AK214" s="30">
        <v>0</v>
      </c>
      <c r="AL214" s="30">
        <v>0</v>
      </c>
      <c r="AM214" s="30">
        <v>0</v>
      </c>
      <c r="AN214" s="30">
        <v>0</v>
      </c>
      <c r="AO214" s="30">
        <v>0</v>
      </c>
      <c r="AP214" s="30">
        <v>0</v>
      </c>
      <c r="AQ214" s="30">
        <v>0</v>
      </c>
      <c r="AR214" s="30">
        <v>0</v>
      </c>
      <c r="AS214" s="30">
        <v>0</v>
      </c>
      <c r="AT214" s="30">
        <v>0</v>
      </c>
      <c r="AU214" s="30">
        <v>0</v>
      </c>
      <c r="AV214" s="30">
        <v>0</v>
      </c>
      <c r="AW214" s="30">
        <v>0</v>
      </c>
      <c r="AX214" s="30">
        <v>0</v>
      </c>
      <c r="AY214" s="30">
        <v>0</v>
      </c>
    </row>
    <row r="215" spans="1:51">
      <c r="A215" s="30" t="s">
        <v>619</v>
      </c>
      <c r="B215" s="30" t="s">
        <v>736</v>
      </c>
      <c r="C215" s="30">
        <v>25</v>
      </c>
      <c r="D215" s="30">
        <v>1</v>
      </c>
      <c r="E215" s="30">
        <v>25</v>
      </c>
      <c r="F215" s="30" t="s">
        <v>626</v>
      </c>
      <c r="G215" s="30" t="s">
        <v>737</v>
      </c>
      <c r="H215" s="30">
        <v>3.2188759999999998</v>
      </c>
      <c r="I215" s="30">
        <v>0</v>
      </c>
      <c r="J215" s="30">
        <v>1</v>
      </c>
      <c r="K215" s="30">
        <v>0</v>
      </c>
      <c r="L215" s="30">
        <v>0</v>
      </c>
      <c r="M215" s="30">
        <v>1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1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30">
        <v>0</v>
      </c>
      <c r="AG215" s="30">
        <v>0</v>
      </c>
      <c r="AH215" s="30">
        <v>0</v>
      </c>
      <c r="AI215" s="30">
        <v>0</v>
      </c>
      <c r="AJ215" s="30">
        <v>0</v>
      </c>
      <c r="AK215" s="30">
        <v>0</v>
      </c>
      <c r="AL215" s="30">
        <v>0</v>
      </c>
      <c r="AM215" s="30">
        <v>0</v>
      </c>
      <c r="AN215" s="30">
        <v>0</v>
      </c>
      <c r="AO215" s="30">
        <v>0</v>
      </c>
      <c r="AP215" s="30">
        <v>0</v>
      </c>
      <c r="AQ215" s="30">
        <v>0</v>
      </c>
      <c r="AR215" s="30">
        <v>0</v>
      </c>
      <c r="AS215" s="30">
        <v>0</v>
      </c>
      <c r="AT215" s="30">
        <v>0</v>
      </c>
      <c r="AU215" s="30">
        <v>0</v>
      </c>
      <c r="AV215" s="30">
        <v>0</v>
      </c>
      <c r="AW215" s="30">
        <v>0</v>
      </c>
      <c r="AX215" s="30">
        <v>0</v>
      </c>
      <c r="AY215" s="30">
        <v>0</v>
      </c>
    </row>
    <row r="216" spans="1:51">
      <c r="A216" s="30" t="s">
        <v>619</v>
      </c>
      <c r="B216" s="30" t="s">
        <v>738</v>
      </c>
      <c r="C216" s="30">
        <v>1</v>
      </c>
      <c r="D216" s="30">
        <v>1</v>
      </c>
      <c r="E216" s="30">
        <v>1</v>
      </c>
      <c r="F216" s="30" t="s">
        <v>621</v>
      </c>
      <c r="G216" s="30" t="s">
        <v>648</v>
      </c>
      <c r="H216" s="30">
        <v>0</v>
      </c>
      <c r="I216" s="30">
        <v>0</v>
      </c>
      <c r="J216" s="30">
        <v>1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30">
        <v>0</v>
      </c>
      <c r="AG216" s="30">
        <v>0</v>
      </c>
      <c r="AH216" s="30">
        <v>0</v>
      </c>
      <c r="AI216" s="30">
        <v>0</v>
      </c>
      <c r="AJ216" s="30">
        <v>0</v>
      </c>
      <c r="AK216" s="30">
        <v>0</v>
      </c>
      <c r="AL216" s="30">
        <v>0</v>
      </c>
      <c r="AM216" s="30">
        <v>0</v>
      </c>
      <c r="AN216" s="30">
        <v>0</v>
      </c>
      <c r="AO216" s="30">
        <v>1</v>
      </c>
      <c r="AP216" s="30">
        <v>0</v>
      </c>
      <c r="AQ216" s="30">
        <v>0</v>
      </c>
      <c r="AR216" s="30">
        <v>0</v>
      </c>
      <c r="AS216" s="30">
        <v>0</v>
      </c>
      <c r="AT216" s="30">
        <v>0</v>
      </c>
      <c r="AU216" s="30">
        <v>0</v>
      </c>
      <c r="AV216" s="30">
        <v>0</v>
      </c>
      <c r="AW216" s="30">
        <v>0</v>
      </c>
      <c r="AX216" s="30">
        <v>0</v>
      </c>
      <c r="AY216" s="30">
        <v>0</v>
      </c>
    </row>
    <row r="217" spans="1:51">
      <c r="A217" s="30" t="s">
        <v>619</v>
      </c>
      <c r="B217" s="30" t="s">
        <v>739</v>
      </c>
      <c r="C217" s="30">
        <v>1</v>
      </c>
      <c r="D217" s="30">
        <v>204</v>
      </c>
      <c r="E217" s="30">
        <v>204</v>
      </c>
      <c r="F217" s="30" t="s">
        <v>626</v>
      </c>
      <c r="G217" s="30" t="s">
        <v>627</v>
      </c>
      <c r="H217" s="30">
        <v>0</v>
      </c>
      <c r="I217" s="30">
        <v>5.3181200000000004</v>
      </c>
      <c r="J217" s="30">
        <v>1</v>
      </c>
      <c r="K217" s="30">
        <v>0</v>
      </c>
      <c r="L217" s="30">
        <v>0</v>
      </c>
      <c r="M217" s="30">
        <v>1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30">
        <v>0</v>
      </c>
      <c r="AG217" s="30">
        <v>0</v>
      </c>
      <c r="AH217" s="30">
        <v>0</v>
      </c>
      <c r="AI217" s="30">
        <v>0</v>
      </c>
      <c r="AJ217" s="30">
        <v>1</v>
      </c>
      <c r="AK217" s="30">
        <v>0</v>
      </c>
      <c r="AL217" s="30">
        <v>0</v>
      </c>
      <c r="AM217" s="30">
        <v>0</v>
      </c>
      <c r="AN217" s="30">
        <v>0</v>
      </c>
      <c r="AO217" s="30">
        <v>0</v>
      </c>
      <c r="AP217" s="30">
        <v>0</v>
      </c>
      <c r="AQ217" s="30">
        <v>0</v>
      </c>
      <c r="AR217" s="30">
        <v>0</v>
      </c>
      <c r="AS217" s="30">
        <v>0</v>
      </c>
      <c r="AT217" s="30">
        <v>0</v>
      </c>
      <c r="AU217" s="30">
        <v>0</v>
      </c>
      <c r="AV217" s="30">
        <v>0</v>
      </c>
      <c r="AW217" s="30">
        <v>0</v>
      </c>
      <c r="AX217" s="30">
        <v>0</v>
      </c>
      <c r="AY217" s="30">
        <v>0</v>
      </c>
    </row>
    <row r="218" spans="1:51">
      <c r="A218" s="30" t="s">
        <v>619</v>
      </c>
      <c r="B218" s="30" t="s">
        <v>740</v>
      </c>
      <c r="C218" s="30">
        <v>2</v>
      </c>
      <c r="D218" s="30">
        <v>1</v>
      </c>
      <c r="E218" s="30">
        <v>2</v>
      </c>
      <c r="F218" s="30" t="s">
        <v>626</v>
      </c>
      <c r="G218" s="30" t="s">
        <v>663</v>
      </c>
      <c r="H218" s="30">
        <v>0.69314699999999996</v>
      </c>
      <c r="I218" s="30">
        <v>0</v>
      </c>
      <c r="J218" s="30">
        <v>1</v>
      </c>
      <c r="K218" s="30">
        <v>0</v>
      </c>
      <c r="L218" s="30">
        <v>0</v>
      </c>
      <c r="M218" s="30">
        <v>1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1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30">
        <v>0</v>
      </c>
      <c r="AG218" s="30">
        <v>0</v>
      </c>
      <c r="AH218" s="30">
        <v>0</v>
      </c>
      <c r="AI218" s="30">
        <v>0</v>
      </c>
      <c r="AJ218" s="30">
        <v>0</v>
      </c>
      <c r="AK218" s="30">
        <v>0</v>
      </c>
      <c r="AL218" s="30">
        <v>0</v>
      </c>
      <c r="AM218" s="30">
        <v>0</v>
      </c>
      <c r="AN218" s="30">
        <v>0</v>
      </c>
      <c r="AO218" s="30">
        <v>0</v>
      </c>
      <c r="AP218" s="30">
        <v>0</v>
      </c>
      <c r="AQ218" s="30">
        <v>0</v>
      </c>
      <c r="AR218" s="30">
        <v>0</v>
      </c>
      <c r="AS218" s="30">
        <v>0</v>
      </c>
      <c r="AT218" s="30">
        <v>0</v>
      </c>
      <c r="AU218" s="30">
        <v>0</v>
      </c>
      <c r="AV218" s="30">
        <v>0</v>
      </c>
      <c r="AW218" s="30">
        <v>0</v>
      </c>
      <c r="AX218" s="30">
        <v>0</v>
      </c>
      <c r="AY218" s="30">
        <v>0</v>
      </c>
    </row>
    <row r="219" spans="1:51">
      <c r="A219" s="30" t="s">
        <v>619</v>
      </c>
      <c r="B219" s="30" t="s">
        <v>741</v>
      </c>
      <c r="C219" s="30">
        <v>1</v>
      </c>
      <c r="D219" s="30">
        <v>1</v>
      </c>
      <c r="E219" s="30">
        <v>1</v>
      </c>
      <c r="F219" s="30" t="s">
        <v>626</v>
      </c>
      <c r="G219" s="30" t="s">
        <v>663</v>
      </c>
      <c r="H219" s="30">
        <v>0</v>
      </c>
      <c r="I219" s="30">
        <v>0</v>
      </c>
      <c r="J219" s="30">
        <v>1</v>
      </c>
      <c r="K219" s="30">
        <v>0</v>
      </c>
      <c r="L219" s="30">
        <v>0</v>
      </c>
      <c r="M219" s="30">
        <v>1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1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30">
        <v>0</v>
      </c>
      <c r="AG219" s="30">
        <v>0</v>
      </c>
      <c r="AH219" s="30">
        <v>0</v>
      </c>
      <c r="AI219" s="30">
        <v>0</v>
      </c>
      <c r="AJ219" s="30">
        <v>0</v>
      </c>
      <c r="AK219" s="30">
        <v>0</v>
      </c>
      <c r="AL219" s="30">
        <v>0</v>
      </c>
      <c r="AM219" s="30">
        <v>0</v>
      </c>
      <c r="AN219" s="30">
        <v>0</v>
      </c>
      <c r="AO219" s="30">
        <v>0</v>
      </c>
      <c r="AP219" s="30">
        <v>0</v>
      </c>
      <c r="AQ219" s="30">
        <v>0</v>
      </c>
      <c r="AR219" s="30">
        <v>0</v>
      </c>
      <c r="AS219" s="30">
        <v>0</v>
      </c>
      <c r="AT219" s="30">
        <v>0</v>
      </c>
      <c r="AU219" s="30">
        <v>0</v>
      </c>
      <c r="AV219" s="30">
        <v>0</v>
      </c>
      <c r="AW219" s="30">
        <v>0</v>
      </c>
      <c r="AX219" s="30">
        <v>0</v>
      </c>
      <c r="AY219" s="30">
        <v>0</v>
      </c>
    </row>
    <row r="220" spans="1:51">
      <c r="A220" s="30" t="s">
        <v>619</v>
      </c>
      <c r="B220" s="30" t="s">
        <v>742</v>
      </c>
      <c r="C220" s="30">
        <v>1</v>
      </c>
      <c r="D220" s="30">
        <v>1</v>
      </c>
      <c r="E220" s="30">
        <v>1</v>
      </c>
      <c r="F220" s="30" t="s">
        <v>626</v>
      </c>
      <c r="G220" s="30" t="s">
        <v>638</v>
      </c>
      <c r="H220" s="30">
        <v>0</v>
      </c>
      <c r="I220" s="30">
        <v>0</v>
      </c>
      <c r="J220" s="30">
        <v>1</v>
      </c>
      <c r="K220" s="30">
        <v>0</v>
      </c>
      <c r="L220" s="30">
        <v>0</v>
      </c>
      <c r="M220" s="30">
        <v>1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30">
        <v>0</v>
      </c>
      <c r="AG220" s="30">
        <v>0</v>
      </c>
      <c r="AH220" s="30">
        <v>0</v>
      </c>
      <c r="AI220" s="30">
        <v>0</v>
      </c>
      <c r="AJ220" s="30">
        <v>0</v>
      </c>
      <c r="AK220" s="30">
        <v>0</v>
      </c>
      <c r="AL220" s="30">
        <v>0</v>
      </c>
      <c r="AM220" s="30">
        <v>0</v>
      </c>
      <c r="AN220" s="30">
        <v>0</v>
      </c>
      <c r="AO220" s="30">
        <v>0</v>
      </c>
      <c r="AP220" s="30">
        <v>0</v>
      </c>
      <c r="AQ220" s="30">
        <v>0</v>
      </c>
      <c r="AR220" s="30">
        <v>0</v>
      </c>
      <c r="AS220" s="30">
        <v>0</v>
      </c>
      <c r="AT220" s="30">
        <v>0</v>
      </c>
      <c r="AU220" s="30">
        <v>0</v>
      </c>
      <c r="AV220" s="30">
        <v>0</v>
      </c>
      <c r="AW220" s="30">
        <v>0</v>
      </c>
      <c r="AX220" s="30">
        <v>0</v>
      </c>
      <c r="AY220" s="30">
        <v>0</v>
      </c>
    </row>
    <row r="221" spans="1:51">
      <c r="A221" s="30" t="s">
        <v>619</v>
      </c>
      <c r="B221" s="30" t="s">
        <v>743</v>
      </c>
      <c r="C221" s="30">
        <v>3</v>
      </c>
      <c r="D221" s="30">
        <v>1</v>
      </c>
      <c r="E221" s="30">
        <v>3</v>
      </c>
      <c r="F221" s="30" t="s">
        <v>621</v>
      </c>
      <c r="G221" s="30" t="s">
        <v>648</v>
      </c>
      <c r="H221" s="30">
        <v>1.0986119999999999</v>
      </c>
      <c r="I221" s="30">
        <v>0</v>
      </c>
      <c r="J221" s="30">
        <v>1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30">
        <v>0</v>
      </c>
      <c r="AG221" s="30">
        <v>0</v>
      </c>
      <c r="AH221" s="30">
        <v>0</v>
      </c>
      <c r="AI221" s="30">
        <v>0</v>
      </c>
      <c r="AJ221" s="30">
        <v>0</v>
      </c>
      <c r="AK221" s="30">
        <v>0</v>
      </c>
      <c r="AL221" s="30">
        <v>0</v>
      </c>
      <c r="AM221" s="30">
        <v>0</v>
      </c>
      <c r="AN221" s="30">
        <v>0</v>
      </c>
      <c r="AO221" s="30">
        <v>1</v>
      </c>
      <c r="AP221" s="30">
        <v>0</v>
      </c>
      <c r="AQ221" s="30">
        <v>0</v>
      </c>
      <c r="AR221" s="30">
        <v>0</v>
      </c>
      <c r="AS221" s="30">
        <v>0</v>
      </c>
      <c r="AT221" s="30">
        <v>0</v>
      </c>
      <c r="AU221" s="30">
        <v>0</v>
      </c>
      <c r="AV221" s="30">
        <v>0</v>
      </c>
      <c r="AW221" s="30">
        <v>0</v>
      </c>
      <c r="AX221" s="30">
        <v>0</v>
      </c>
      <c r="AY221" s="30">
        <v>0</v>
      </c>
    </row>
    <row r="222" spans="1:51">
      <c r="A222" s="30" t="s">
        <v>619</v>
      </c>
      <c r="B222" s="30" t="s">
        <v>744</v>
      </c>
      <c r="C222" s="30">
        <v>1</v>
      </c>
      <c r="D222" s="30">
        <v>1</v>
      </c>
      <c r="E222" s="30">
        <v>1</v>
      </c>
      <c r="F222" s="30" t="s">
        <v>621</v>
      </c>
      <c r="G222" s="30" t="s">
        <v>648</v>
      </c>
      <c r="H222" s="30">
        <v>0</v>
      </c>
      <c r="I222" s="30">
        <v>0</v>
      </c>
      <c r="J222" s="30">
        <v>1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30">
        <v>0</v>
      </c>
      <c r="AG222" s="30">
        <v>0</v>
      </c>
      <c r="AH222" s="30">
        <v>0</v>
      </c>
      <c r="AI222" s="30">
        <v>0</v>
      </c>
      <c r="AJ222" s="30">
        <v>0</v>
      </c>
      <c r="AK222" s="30">
        <v>0</v>
      </c>
      <c r="AL222" s="30">
        <v>0</v>
      </c>
      <c r="AM222" s="30">
        <v>0</v>
      </c>
      <c r="AN222" s="30">
        <v>0</v>
      </c>
      <c r="AO222" s="30">
        <v>1</v>
      </c>
      <c r="AP222" s="30">
        <v>0</v>
      </c>
      <c r="AQ222" s="30">
        <v>0</v>
      </c>
      <c r="AR222" s="30">
        <v>0</v>
      </c>
      <c r="AS222" s="30">
        <v>0</v>
      </c>
      <c r="AT222" s="30">
        <v>0</v>
      </c>
      <c r="AU222" s="30">
        <v>0</v>
      </c>
      <c r="AV222" s="30">
        <v>0</v>
      </c>
      <c r="AW222" s="30">
        <v>0</v>
      </c>
      <c r="AX222" s="30">
        <v>0</v>
      </c>
      <c r="AY222" s="30">
        <v>0</v>
      </c>
    </row>
    <row r="223" spans="1:51">
      <c r="A223" s="30" t="s">
        <v>619</v>
      </c>
      <c r="B223" s="30" t="s">
        <v>745</v>
      </c>
      <c r="C223" s="30">
        <v>5</v>
      </c>
      <c r="D223" s="30">
        <v>1</v>
      </c>
      <c r="E223" s="30">
        <v>5</v>
      </c>
      <c r="F223" s="30" t="s">
        <v>621</v>
      </c>
      <c r="G223" s="30" t="s">
        <v>648</v>
      </c>
      <c r="H223" s="30">
        <v>1.6094379999999999</v>
      </c>
      <c r="I223" s="30">
        <v>0</v>
      </c>
      <c r="J223" s="30">
        <v>1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30">
        <v>0</v>
      </c>
      <c r="AG223" s="30">
        <v>0</v>
      </c>
      <c r="AH223" s="30">
        <v>0</v>
      </c>
      <c r="AI223" s="30">
        <v>0</v>
      </c>
      <c r="AJ223" s="30">
        <v>0</v>
      </c>
      <c r="AK223" s="30">
        <v>0</v>
      </c>
      <c r="AL223" s="30">
        <v>0</v>
      </c>
      <c r="AM223" s="30">
        <v>0</v>
      </c>
      <c r="AN223" s="30">
        <v>0</v>
      </c>
      <c r="AO223" s="30">
        <v>1</v>
      </c>
      <c r="AP223" s="30">
        <v>0</v>
      </c>
      <c r="AQ223" s="30">
        <v>0</v>
      </c>
      <c r="AR223" s="30">
        <v>0</v>
      </c>
      <c r="AS223" s="30">
        <v>0</v>
      </c>
      <c r="AT223" s="30">
        <v>0</v>
      </c>
      <c r="AU223" s="30">
        <v>0</v>
      </c>
      <c r="AV223" s="30">
        <v>0</v>
      </c>
      <c r="AW223" s="30">
        <v>0</v>
      </c>
      <c r="AX223" s="30">
        <v>0</v>
      </c>
      <c r="AY223" s="30">
        <v>0</v>
      </c>
    </row>
    <row r="224" spans="1:51">
      <c r="A224" s="30" t="s">
        <v>619</v>
      </c>
      <c r="B224" s="30" t="s">
        <v>746</v>
      </c>
      <c r="C224" s="30">
        <v>3</v>
      </c>
      <c r="D224" s="30">
        <v>1</v>
      </c>
      <c r="E224" s="30">
        <v>3</v>
      </c>
      <c r="F224" s="30" t="s">
        <v>621</v>
      </c>
      <c r="G224" s="30" t="s">
        <v>622</v>
      </c>
      <c r="H224" s="30">
        <v>1.0986119999999999</v>
      </c>
      <c r="I224" s="30">
        <v>0</v>
      </c>
      <c r="J224" s="30">
        <v>1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1</v>
      </c>
      <c r="AC224" s="30">
        <v>0</v>
      </c>
      <c r="AD224" s="30">
        <v>0</v>
      </c>
      <c r="AE224" s="30">
        <v>0</v>
      </c>
      <c r="AF224" s="30">
        <v>0</v>
      </c>
      <c r="AG224" s="30">
        <v>0</v>
      </c>
      <c r="AH224" s="30">
        <v>0</v>
      </c>
      <c r="AI224" s="30">
        <v>0</v>
      </c>
      <c r="AJ224" s="30">
        <v>0</v>
      </c>
      <c r="AK224" s="30">
        <v>0</v>
      </c>
      <c r="AL224" s="30">
        <v>0</v>
      </c>
      <c r="AM224" s="30">
        <v>0</v>
      </c>
      <c r="AN224" s="30">
        <v>0</v>
      </c>
      <c r="AO224" s="30">
        <v>0</v>
      </c>
      <c r="AP224" s="30">
        <v>0</v>
      </c>
      <c r="AQ224" s="30">
        <v>0</v>
      </c>
      <c r="AR224" s="30">
        <v>0</v>
      </c>
      <c r="AS224" s="30">
        <v>0</v>
      </c>
      <c r="AT224" s="30">
        <v>0</v>
      </c>
      <c r="AU224" s="30">
        <v>0</v>
      </c>
      <c r="AV224" s="30">
        <v>0</v>
      </c>
      <c r="AW224" s="30">
        <v>0</v>
      </c>
      <c r="AX224" s="30">
        <v>0</v>
      </c>
      <c r="AY224" s="30">
        <v>0</v>
      </c>
    </row>
    <row r="225" spans="1:51">
      <c r="A225" s="30" t="s">
        <v>619</v>
      </c>
      <c r="B225" s="30" t="s">
        <v>747</v>
      </c>
      <c r="C225" s="30">
        <v>3.5</v>
      </c>
      <c r="D225" s="30">
        <v>1</v>
      </c>
      <c r="E225" s="30">
        <v>3.5</v>
      </c>
      <c r="F225" s="30" t="s">
        <v>626</v>
      </c>
      <c r="G225" s="30" t="s">
        <v>663</v>
      </c>
      <c r="H225" s="30">
        <v>1.2527630000000001</v>
      </c>
      <c r="I225" s="30">
        <v>0</v>
      </c>
      <c r="J225" s="30">
        <v>1</v>
      </c>
      <c r="K225" s="30">
        <v>0</v>
      </c>
      <c r="L225" s="30">
        <v>0</v>
      </c>
      <c r="M225" s="30">
        <v>1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1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30">
        <v>0</v>
      </c>
      <c r="AG225" s="30">
        <v>0</v>
      </c>
      <c r="AH225" s="30">
        <v>0</v>
      </c>
      <c r="AI225" s="30">
        <v>0</v>
      </c>
      <c r="AJ225" s="30">
        <v>0</v>
      </c>
      <c r="AK225" s="30">
        <v>0</v>
      </c>
      <c r="AL225" s="30">
        <v>0</v>
      </c>
      <c r="AM225" s="30">
        <v>0</v>
      </c>
      <c r="AN225" s="30">
        <v>0</v>
      </c>
      <c r="AO225" s="30">
        <v>0</v>
      </c>
      <c r="AP225" s="30">
        <v>0</v>
      </c>
      <c r="AQ225" s="30">
        <v>0</v>
      </c>
      <c r="AR225" s="30">
        <v>0</v>
      </c>
      <c r="AS225" s="30">
        <v>0</v>
      </c>
      <c r="AT225" s="30">
        <v>0</v>
      </c>
      <c r="AU225" s="30">
        <v>0</v>
      </c>
      <c r="AV225" s="30">
        <v>0</v>
      </c>
      <c r="AW225" s="30">
        <v>0</v>
      </c>
      <c r="AX225" s="30">
        <v>0</v>
      </c>
      <c r="AY225" s="30">
        <v>0</v>
      </c>
    </row>
    <row r="226" spans="1:51">
      <c r="A226" s="30" t="s">
        <v>619</v>
      </c>
      <c r="B226" s="30" t="s">
        <v>748</v>
      </c>
      <c r="C226" s="30">
        <v>3</v>
      </c>
      <c r="D226" s="30">
        <v>1</v>
      </c>
      <c r="E226" s="30">
        <v>3</v>
      </c>
      <c r="F226" s="30" t="s">
        <v>626</v>
      </c>
      <c r="G226" s="30" t="s">
        <v>663</v>
      </c>
      <c r="H226" s="30">
        <v>1.0986119999999999</v>
      </c>
      <c r="I226" s="30">
        <v>0</v>
      </c>
      <c r="J226" s="30">
        <v>1</v>
      </c>
      <c r="K226" s="30">
        <v>0</v>
      </c>
      <c r="L226" s="30">
        <v>0</v>
      </c>
      <c r="M226" s="30">
        <v>1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1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30">
        <v>0</v>
      </c>
      <c r="AG226" s="30">
        <v>0</v>
      </c>
      <c r="AH226" s="30">
        <v>0</v>
      </c>
      <c r="AI226" s="30">
        <v>0</v>
      </c>
      <c r="AJ226" s="30">
        <v>0</v>
      </c>
      <c r="AK226" s="30">
        <v>0</v>
      </c>
      <c r="AL226" s="30">
        <v>0</v>
      </c>
      <c r="AM226" s="30">
        <v>0</v>
      </c>
      <c r="AN226" s="30">
        <v>0</v>
      </c>
      <c r="AO226" s="30">
        <v>0</v>
      </c>
      <c r="AP226" s="30">
        <v>0</v>
      </c>
      <c r="AQ226" s="30">
        <v>0</v>
      </c>
      <c r="AR226" s="30">
        <v>0</v>
      </c>
      <c r="AS226" s="30">
        <v>0</v>
      </c>
      <c r="AT226" s="30">
        <v>0</v>
      </c>
      <c r="AU226" s="30">
        <v>0</v>
      </c>
      <c r="AV226" s="30">
        <v>0</v>
      </c>
      <c r="AW226" s="30">
        <v>0</v>
      </c>
      <c r="AX226" s="30">
        <v>0</v>
      </c>
      <c r="AY226" s="30">
        <v>0</v>
      </c>
    </row>
    <row r="227" spans="1:51">
      <c r="A227" s="30" t="s">
        <v>619</v>
      </c>
      <c r="B227" s="30" t="s">
        <v>749</v>
      </c>
      <c r="C227" s="30">
        <v>3</v>
      </c>
      <c r="D227" s="30">
        <v>1</v>
      </c>
      <c r="E227" s="30">
        <v>3</v>
      </c>
      <c r="F227" s="30" t="s">
        <v>626</v>
      </c>
      <c r="G227" s="30" t="s">
        <v>663</v>
      </c>
      <c r="H227" s="30">
        <v>1.0986119999999999</v>
      </c>
      <c r="I227" s="30">
        <v>0</v>
      </c>
      <c r="J227" s="30">
        <v>1</v>
      </c>
      <c r="K227" s="30">
        <v>0</v>
      </c>
      <c r="L227" s="30">
        <v>0</v>
      </c>
      <c r="M227" s="30">
        <v>1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1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30">
        <v>0</v>
      </c>
      <c r="AG227" s="30">
        <v>0</v>
      </c>
      <c r="AH227" s="30">
        <v>0</v>
      </c>
      <c r="AI227" s="30">
        <v>0</v>
      </c>
      <c r="AJ227" s="30">
        <v>0</v>
      </c>
      <c r="AK227" s="30">
        <v>0</v>
      </c>
      <c r="AL227" s="30">
        <v>0</v>
      </c>
      <c r="AM227" s="30">
        <v>0</v>
      </c>
      <c r="AN227" s="30">
        <v>0</v>
      </c>
      <c r="AO227" s="30">
        <v>0</v>
      </c>
      <c r="AP227" s="30">
        <v>0</v>
      </c>
      <c r="AQ227" s="30">
        <v>0</v>
      </c>
      <c r="AR227" s="30">
        <v>0</v>
      </c>
      <c r="AS227" s="30">
        <v>0</v>
      </c>
      <c r="AT227" s="30">
        <v>0</v>
      </c>
      <c r="AU227" s="30">
        <v>0</v>
      </c>
      <c r="AV227" s="30">
        <v>0</v>
      </c>
      <c r="AW227" s="30">
        <v>0</v>
      </c>
      <c r="AX227" s="30">
        <v>0</v>
      </c>
      <c r="AY227" s="30">
        <v>0</v>
      </c>
    </row>
    <row r="228" spans="1:51">
      <c r="A228" s="30" t="s">
        <v>619</v>
      </c>
      <c r="B228" s="30" t="s">
        <v>750</v>
      </c>
      <c r="C228" s="30">
        <v>2</v>
      </c>
      <c r="D228" s="30">
        <v>1</v>
      </c>
      <c r="E228" s="30">
        <v>2</v>
      </c>
      <c r="F228" s="30" t="s">
        <v>626</v>
      </c>
      <c r="G228" s="30" t="s">
        <v>663</v>
      </c>
      <c r="H228" s="30">
        <v>0.69314699999999996</v>
      </c>
      <c r="I228" s="30">
        <v>0</v>
      </c>
      <c r="J228" s="30">
        <v>1</v>
      </c>
      <c r="K228" s="30">
        <v>0</v>
      </c>
      <c r="L228" s="30">
        <v>0</v>
      </c>
      <c r="M228" s="30">
        <v>1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1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30">
        <v>0</v>
      </c>
      <c r="AG228" s="30">
        <v>0</v>
      </c>
      <c r="AH228" s="30">
        <v>0</v>
      </c>
      <c r="AI228" s="30">
        <v>0</v>
      </c>
      <c r="AJ228" s="30">
        <v>0</v>
      </c>
      <c r="AK228" s="30">
        <v>0</v>
      </c>
      <c r="AL228" s="30">
        <v>0</v>
      </c>
      <c r="AM228" s="30">
        <v>0</v>
      </c>
      <c r="AN228" s="30">
        <v>0</v>
      </c>
      <c r="AO228" s="30">
        <v>0</v>
      </c>
      <c r="AP228" s="30">
        <v>0</v>
      </c>
      <c r="AQ228" s="30">
        <v>0</v>
      </c>
      <c r="AR228" s="30">
        <v>0</v>
      </c>
      <c r="AS228" s="30">
        <v>0</v>
      </c>
      <c r="AT228" s="30">
        <v>0</v>
      </c>
      <c r="AU228" s="30">
        <v>0</v>
      </c>
      <c r="AV228" s="30">
        <v>0</v>
      </c>
      <c r="AW228" s="30">
        <v>0</v>
      </c>
      <c r="AX228" s="30">
        <v>0</v>
      </c>
      <c r="AY228" s="30">
        <v>0</v>
      </c>
    </row>
    <row r="229" spans="1:51">
      <c r="A229" s="30" t="s">
        <v>619</v>
      </c>
      <c r="B229" s="30" t="s">
        <v>751</v>
      </c>
      <c r="C229" s="30">
        <v>3</v>
      </c>
      <c r="D229" s="30">
        <v>1</v>
      </c>
      <c r="E229" s="30">
        <v>3</v>
      </c>
      <c r="F229" s="30" t="s">
        <v>621</v>
      </c>
      <c r="G229" s="30" t="s">
        <v>624</v>
      </c>
      <c r="H229" s="30">
        <v>1.0986119999999999</v>
      </c>
      <c r="I229" s="30">
        <v>0</v>
      </c>
      <c r="J229" s="30">
        <v>1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30">
        <v>0</v>
      </c>
      <c r="AG229" s="30">
        <v>0</v>
      </c>
      <c r="AH229" s="30">
        <v>0</v>
      </c>
      <c r="AI229" s="30">
        <v>0</v>
      </c>
      <c r="AJ229" s="30">
        <v>0</v>
      </c>
      <c r="AK229" s="30">
        <v>0</v>
      </c>
      <c r="AL229" s="30">
        <v>1</v>
      </c>
      <c r="AM229" s="30">
        <v>0</v>
      </c>
      <c r="AN229" s="30">
        <v>0</v>
      </c>
      <c r="AO229" s="30">
        <v>0</v>
      </c>
      <c r="AP229" s="30">
        <v>0</v>
      </c>
      <c r="AQ229" s="30">
        <v>0</v>
      </c>
      <c r="AR229" s="30">
        <v>0</v>
      </c>
      <c r="AS229" s="30">
        <v>0</v>
      </c>
      <c r="AT229" s="30">
        <v>0</v>
      </c>
      <c r="AU229" s="30">
        <v>0</v>
      </c>
      <c r="AV229" s="30">
        <v>0</v>
      </c>
      <c r="AW229" s="30">
        <v>0</v>
      </c>
      <c r="AX229" s="30">
        <v>0</v>
      </c>
      <c r="AY229" s="30">
        <v>0</v>
      </c>
    </row>
    <row r="230" spans="1:51">
      <c r="A230" s="30" t="s">
        <v>619</v>
      </c>
      <c r="B230" s="30" t="s">
        <v>752</v>
      </c>
      <c r="C230" s="30">
        <v>1</v>
      </c>
      <c r="D230" s="30">
        <v>1</v>
      </c>
      <c r="E230" s="30">
        <v>1</v>
      </c>
      <c r="F230" s="30" t="s">
        <v>621</v>
      </c>
      <c r="G230" s="30" t="s">
        <v>622</v>
      </c>
      <c r="H230" s="30">
        <v>0</v>
      </c>
      <c r="I230" s="30">
        <v>0</v>
      </c>
      <c r="J230" s="30">
        <v>1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1</v>
      </c>
      <c r="AC230" s="30">
        <v>0</v>
      </c>
      <c r="AD230" s="30">
        <v>0</v>
      </c>
      <c r="AE230" s="30">
        <v>0</v>
      </c>
      <c r="AF230" s="30">
        <v>0</v>
      </c>
      <c r="AG230" s="30">
        <v>0</v>
      </c>
      <c r="AH230" s="30">
        <v>0</v>
      </c>
      <c r="AI230" s="30">
        <v>0</v>
      </c>
      <c r="AJ230" s="30">
        <v>0</v>
      </c>
      <c r="AK230" s="30">
        <v>0</v>
      </c>
      <c r="AL230" s="30">
        <v>0</v>
      </c>
      <c r="AM230" s="30">
        <v>0</v>
      </c>
      <c r="AN230" s="30">
        <v>0</v>
      </c>
      <c r="AO230" s="30">
        <v>0</v>
      </c>
      <c r="AP230" s="30">
        <v>0</v>
      </c>
      <c r="AQ230" s="30">
        <v>0</v>
      </c>
      <c r="AR230" s="30">
        <v>0</v>
      </c>
      <c r="AS230" s="30">
        <v>0</v>
      </c>
      <c r="AT230" s="30">
        <v>0</v>
      </c>
      <c r="AU230" s="30">
        <v>0</v>
      </c>
      <c r="AV230" s="30">
        <v>0</v>
      </c>
      <c r="AW230" s="30">
        <v>0</v>
      </c>
      <c r="AX230" s="30">
        <v>0</v>
      </c>
      <c r="AY230" s="30">
        <v>0</v>
      </c>
    </row>
    <row r="231" spans="1:51">
      <c r="A231" s="30" t="s">
        <v>619</v>
      </c>
      <c r="B231" s="30" t="s">
        <v>753</v>
      </c>
      <c r="C231" s="30">
        <v>3</v>
      </c>
      <c r="D231" s="30">
        <v>1</v>
      </c>
      <c r="E231" s="30">
        <v>3</v>
      </c>
      <c r="F231" s="30" t="s">
        <v>621</v>
      </c>
      <c r="G231" s="30" t="s">
        <v>624</v>
      </c>
      <c r="H231" s="30">
        <v>1.0986119999999999</v>
      </c>
      <c r="I231" s="30">
        <v>0</v>
      </c>
      <c r="J231" s="30">
        <v>1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30">
        <v>0</v>
      </c>
      <c r="AG231" s="30">
        <v>0</v>
      </c>
      <c r="AH231" s="30">
        <v>0</v>
      </c>
      <c r="AI231" s="30">
        <v>0</v>
      </c>
      <c r="AJ231" s="30">
        <v>0</v>
      </c>
      <c r="AK231" s="30">
        <v>0</v>
      </c>
      <c r="AL231" s="30">
        <v>1</v>
      </c>
      <c r="AM231" s="30">
        <v>0</v>
      </c>
      <c r="AN231" s="30">
        <v>0</v>
      </c>
      <c r="AO231" s="30">
        <v>0</v>
      </c>
      <c r="AP231" s="30">
        <v>0</v>
      </c>
      <c r="AQ231" s="30">
        <v>0</v>
      </c>
      <c r="AR231" s="30">
        <v>0</v>
      </c>
      <c r="AS231" s="30">
        <v>0</v>
      </c>
      <c r="AT231" s="30">
        <v>0</v>
      </c>
      <c r="AU231" s="30">
        <v>0</v>
      </c>
      <c r="AV231" s="30">
        <v>0</v>
      </c>
      <c r="AW231" s="30">
        <v>0</v>
      </c>
      <c r="AX231" s="30">
        <v>0</v>
      </c>
      <c r="AY231" s="30">
        <v>0</v>
      </c>
    </row>
    <row r="232" spans="1:51">
      <c r="A232" s="30" t="s">
        <v>619</v>
      </c>
      <c r="B232" s="30" t="s">
        <v>754</v>
      </c>
      <c r="C232" s="30">
        <v>3</v>
      </c>
      <c r="D232" s="30">
        <v>1</v>
      </c>
      <c r="E232" s="30">
        <v>3</v>
      </c>
      <c r="F232" s="30" t="s">
        <v>621</v>
      </c>
      <c r="G232" s="30" t="s">
        <v>624</v>
      </c>
      <c r="H232" s="30">
        <v>1.0986119999999999</v>
      </c>
      <c r="I232" s="30">
        <v>0</v>
      </c>
      <c r="J232" s="30">
        <v>1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  <c r="AE232" s="30">
        <v>0</v>
      </c>
      <c r="AF232" s="30">
        <v>0</v>
      </c>
      <c r="AG232" s="30">
        <v>0</v>
      </c>
      <c r="AH232" s="30">
        <v>0</v>
      </c>
      <c r="AI232" s="30">
        <v>0</v>
      </c>
      <c r="AJ232" s="30">
        <v>0</v>
      </c>
      <c r="AK232" s="30">
        <v>0</v>
      </c>
      <c r="AL232" s="30">
        <v>1</v>
      </c>
      <c r="AM232" s="30">
        <v>0</v>
      </c>
      <c r="AN232" s="30">
        <v>0</v>
      </c>
      <c r="AO232" s="30">
        <v>0</v>
      </c>
      <c r="AP232" s="30">
        <v>0</v>
      </c>
      <c r="AQ232" s="30">
        <v>0</v>
      </c>
      <c r="AR232" s="30">
        <v>0</v>
      </c>
      <c r="AS232" s="30">
        <v>0</v>
      </c>
      <c r="AT232" s="30">
        <v>0</v>
      </c>
      <c r="AU232" s="30">
        <v>0</v>
      </c>
      <c r="AV232" s="30">
        <v>0</v>
      </c>
      <c r="AW232" s="30">
        <v>0</v>
      </c>
      <c r="AX232" s="30">
        <v>0</v>
      </c>
      <c r="AY232" s="30">
        <v>0</v>
      </c>
    </row>
    <row r="233" spans="1:51">
      <c r="A233" s="30" t="s">
        <v>619</v>
      </c>
      <c r="B233" s="30" t="s">
        <v>755</v>
      </c>
      <c r="C233" s="30">
        <v>1</v>
      </c>
      <c r="D233" s="30">
        <v>3</v>
      </c>
      <c r="E233" s="30">
        <v>3</v>
      </c>
      <c r="F233" s="30" t="s">
        <v>626</v>
      </c>
      <c r="G233" s="30" t="s">
        <v>627</v>
      </c>
      <c r="H233" s="30">
        <v>0</v>
      </c>
      <c r="I233" s="30">
        <v>1.0986119999999999</v>
      </c>
      <c r="J233" s="30">
        <v>1</v>
      </c>
      <c r="K233" s="30">
        <v>0</v>
      </c>
      <c r="L233" s="30">
        <v>0</v>
      </c>
      <c r="M233" s="30">
        <v>1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  <c r="AE233" s="30">
        <v>0</v>
      </c>
      <c r="AF233" s="30">
        <v>0</v>
      </c>
      <c r="AG233" s="30">
        <v>0</v>
      </c>
      <c r="AH233" s="30">
        <v>0</v>
      </c>
      <c r="AI233" s="30">
        <v>0</v>
      </c>
      <c r="AJ233" s="30">
        <v>1</v>
      </c>
      <c r="AK233" s="30">
        <v>0</v>
      </c>
      <c r="AL233" s="30">
        <v>0</v>
      </c>
      <c r="AM233" s="30">
        <v>0</v>
      </c>
      <c r="AN233" s="30">
        <v>0</v>
      </c>
      <c r="AO233" s="30">
        <v>0</v>
      </c>
      <c r="AP233" s="30">
        <v>0</v>
      </c>
      <c r="AQ233" s="30">
        <v>0</v>
      </c>
      <c r="AR233" s="30">
        <v>0</v>
      </c>
      <c r="AS233" s="30">
        <v>0</v>
      </c>
      <c r="AT233" s="30">
        <v>0</v>
      </c>
      <c r="AU233" s="30">
        <v>0</v>
      </c>
      <c r="AV233" s="30">
        <v>0</v>
      </c>
      <c r="AW233" s="30">
        <v>0</v>
      </c>
      <c r="AX233" s="30">
        <v>0</v>
      </c>
      <c r="AY233" s="30">
        <v>0</v>
      </c>
    </row>
    <row r="234" spans="1:51">
      <c r="A234" s="30" t="s">
        <v>619</v>
      </c>
      <c r="B234" s="30" t="s">
        <v>756</v>
      </c>
      <c r="C234" s="30">
        <v>0.5</v>
      </c>
      <c r="D234" s="30">
        <v>2</v>
      </c>
      <c r="E234" s="30">
        <v>1</v>
      </c>
      <c r="F234" s="30" t="s">
        <v>626</v>
      </c>
      <c r="G234" s="30" t="s">
        <v>663</v>
      </c>
      <c r="H234" s="30">
        <v>-0.69315000000000004</v>
      </c>
      <c r="I234" s="30">
        <v>0.69314699999999996</v>
      </c>
      <c r="J234" s="30">
        <v>1</v>
      </c>
      <c r="K234" s="30">
        <v>0</v>
      </c>
      <c r="L234" s="30">
        <v>0</v>
      </c>
      <c r="M234" s="30">
        <v>1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1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30">
        <v>0</v>
      </c>
      <c r="AG234" s="30">
        <v>0</v>
      </c>
      <c r="AH234" s="30">
        <v>0</v>
      </c>
      <c r="AI234" s="30">
        <v>0</v>
      </c>
      <c r="AJ234" s="30">
        <v>0</v>
      </c>
      <c r="AK234" s="30">
        <v>0</v>
      </c>
      <c r="AL234" s="30">
        <v>0</v>
      </c>
      <c r="AM234" s="30">
        <v>0</v>
      </c>
      <c r="AN234" s="30">
        <v>0</v>
      </c>
      <c r="AO234" s="30">
        <v>0</v>
      </c>
      <c r="AP234" s="30">
        <v>0</v>
      </c>
      <c r="AQ234" s="30">
        <v>0</v>
      </c>
      <c r="AR234" s="30">
        <v>0</v>
      </c>
      <c r="AS234" s="30">
        <v>0</v>
      </c>
      <c r="AT234" s="30">
        <v>0</v>
      </c>
      <c r="AU234" s="30">
        <v>0</v>
      </c>
      <c r="AV234" s="30">
        <v>0</v>
      </c>
      <c r="AW234" s="30">
        <v>0</v>
      </c>
      <c r="AX234" s="30">
        <v>0</v>
      </c>
      <c r="AY234" s="30">
        <v>0</v>
      </c>
    </row>
    <row r="235" spans="1:51">
      <c r="A235" s="30" t="s">
        <v>619</v>
      </c>
      <c r="B235" s="30" t="s">
        <v>757</v>
      </c>
      <c r="C235" s="30">
        <v>3</v>
      </c>
      <c r="D235" s="30">
        <v>2</v>
      </c>
      <c r="E235" s="30">
        <v>6</v>
      </c>
      <c r="F235" s="30" t="s">
        <v>626</v>
      </c>
      <c r="G235" s="30" t="s">
        <v>638</v>
      </c>
      <c r="H235" s="30">
        <v>1.0986119999999999</v>
      </c>
      <c r="I235" s="30">
        <v>0.69314699999999996</v>
      </c>
      <c r="J235" s="30">
        <v>1</v>
      </c>
      <c r="K235" s="30">
        <v>0</v>
      </c>
      <c r="L235" s="30">
        <v>0</v>
      </c>
      <c r="M235" s="30">
        <v>1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30">
        <v>0</v>
      </c>
      <c r="AG235" s="30">
        <v>0</v>
      </c>
      <c r="AH235" s="30">
        <v>0</v>
      </c>
      <c r="AI235" s="30">
        <v>0</v>
      </c>
      <c r="AJ235" s="30">
        <v>0</v>
      </c>
      <c r="AK235" s="30">
        <v>0</v>
      </c>
      <c r="AL235" s="30">
        <v>0</v>
      </c>
      <c r="AM235" s="30">
        <v>0</v>
      </c>
      <c r="AN235" s="30">
        <v>0</v>
      </c>
      <c r="AO235" s="30">
        <v>0</v>
      </c>
      <c r="AP235" s="30">
        <v>0</v>
      </c>
      <c r="AQ235" s="30">
        <v>0</v>
      </c>
      <c r="AR235" s="30">
        <v>0</v>
      </c>
      <c r="AS235" s="30">
        <v>0</v>
      </c>
      <c r="AT235" s="30">
        <v>0</v>
      </c>
      <c r="AU235" s="30">
        <v>0</v>
      </c>
      <c r="AV235" s="30">
        <v>0</v>
      </c>
      <c r="AW235" s="30">
        <v>0</v>
      </c>
      <c r="AX235" s="30">
        <v>0</v>
      </c>
      <c r="AY235" s="30">
        <v>0</v>
      </c>
    </row>
    <row r="236" spans="1:51">
      <c r="A236" s="30" t="s">
        <v>619</v>
      </c>
      <c r="B236" s="30" t="s">
        <v>758</v>
      </c>
      <c r="C236" s="30">
        <v>3</v>
      </c>
      <c r="D236" s="30">
        <v>2</v>
      </c>
      <c r="E236" s="30">
        <v>6</v>
      </c>
      <c r="F236" s="30" t="s">
        <v>626</v>
      </c>
      <c r="G236" s="30" t="s">
        <v>638</v>
      </c>
      <c r="H236" s="30">
        <v>1.0986119999999999</v>
      </c>
      <c r="I236" s="30">
        <v>0.69314699999999996</v>
      </c>
      <c r="J236" s="30">
        <v>1</v>
      </c>
      <c r="K236" s="30">
        <v>0</v>
      </c>
      <c r="L236" s="30">
        <v>0</v>
      </c>
      <c r="M236" s="30">
        <v>1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30">
        <v>0</v>
      </c>
      <c r="AG236" s="30">
        <v>0</v>
      </c>
      <c r="AH236" s="30">
        <v>0</v>
      </c>
      <c r="AI236" s="30">
        <v>0</v>
      </c>
      <c r="AJ236" s="30">
        <v>0</v>
      </c>
      <c r="AK236" s="30">
        <v>0</v>
      </c>
      <c r="AL236" s="30">
        <v>0</v>
      </c>
      <c r="AM236" s="30">
        <v>0</v>
      </c>
      <c r="AN236" s="30">
        <v>0</v>
      </c>
      <c r="AO236" s="30">
        <v>0</v>
      </c>
      <c r="AP236" s="30">
        <v>0</v>
      </c>
      <c r="AQ236" s="30">
        <v>0</v>
      </c>
      <c r="AR236" s="30">
        <v>0</v>
      </c>
      <c r="AS236" s="30">
        <v>0</v>
      </c>
      <c r="AT236" s="30">
        <v>0</v>
      </c>
      <c r="AU236" s="30">
        <v>0</v>
      </c>
      <c r="AV236" s="30">
        <v>0</v>
      </c>
      <c r="AW236" s="30">
        <v>0</v>
      </c>
      <c r="AX236" s="30">
        <v>0</v>
      </c>
      <c r="AY236" s="30">
        <v>0</v>
      </c>
    </row>
    <row r="237" spans="1:51">
      <c r="A237" s="30" t="s">
        <v>619</v>
      </c>
      <c r="B237" s="30" t="s">
        <v>759</v>
      </c>
      <c r="C237" s="30">
        <v>150</v>
      </c>
      <c r="D237" s="30">
        <v>2</v>
      </c>
      <c r="E237" s="30">
        <v>150</v>
      </c>
      <c r="F237" s="30" t="s">
        <v>621</v>
      </c>
      <c r="G237" s="30" t="s">
        <v>648</v>
      </c>
      <c r="H237" s="30">
        <v>5.0106349999999997</v>
      </c>
      <c r="I237" s="30">
        <v>0.69314699999999996</v>
      </c>
      <c r="J237" s="30">
        <v>1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  <c r="AE237" s="30">
        <v>0</v>
      </c>
      <c r="AF237" s="30">
        <v>0</v>
      </c>
      <c r="AG237" s="30">
        <v>0</v>
      </c>
      <c r="AH237" s="30">
        <v>0</v>
      </c>
      <c r="AI237" s="30">
        <v>0</v>
      </c>
      <c r="AJ237" s="30">
        <v>0</v>
      </c>
      <c r="AK237" s="30">
        <v>0</v>
      </c>
      <c r="AL237" s="30">
        <v>0</v>
      </c>
      <c r="AM237" s="30">
        <v>0</v>
      </c>
      <c r="AN237" s="30">
        <v>0</v>
      </c>
      <c r="AO237" s="30">
        <v>1</v>
      </c>
      <c r="AP237" s="30">
        <v>0</v>
      </c>
      <c r="AQ237" s="30">
        <v>0</v>
      </c>
      <c r="AR237" s="30">
        <v>0</v>
      </c>
      <c r="AS237" s="30">
        <v>0</v>
      </c>
      <c r="AT237" s="30">
        <v>0</v>
      </c>
      <c r="AU237" s="30">
        <v>0</v>
      </c>
      <c r="AV237" s="30">
        <v>0</v>
      </c>
      <c r="AW237" s="30">
        <v>0</v>
      </c>
      <c r="AX237" s="30">
        <v>0</v>
      </c>
      <c r="AY237" s="30">
        <v>0</v>
      </c>
    </row>
    <row r="238" spans="1:51">
      <c r="A238" s="30" t="s">
        <v>619</v>
      </c>
      <c r="B238" s="30" t="s">
        <v>760</v>
      </c>
      <c r="C238" s="30">
        <v>10</v>
      </c>
      <c r="D238" s="30">
        <v>2</v>
      </c>
      <c r="E238" s="30">
        <v>20</v>
      </c>
      <c r="F238" s="30" t="s">
        <v>626</v>
      </c>
      <c r="G238" s="30" t="s">
        <v>642</v>
      </c>
      <c r="H238" s="30">
        <v>2.3025850000000001</v>
      </c>
      <c r="I238" s="30">
        <v>0.69314699999999996</v>
      </c>
      <c r="J238" s="30">
        <v>1</v>
      </c>
      <c r="K238" s="30">
        <v>0</v>
      </c>
      <c r="L238" s="30">
        <v>0</v>
      </c>
      <c r="M238" s="30">
        <v>1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1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30">
        <v>0</v>
      </c>
      <c r="AG238" s="30">
        <v>0</v>
      </c>
      <c r="AH238" s="30">
        <v>0</v>
      </c>
      <c r="AI238" s="30">
        <v>0</v>
      </c>
      <c r="AJ238" s="30">
        <v>0</v>
      </c>
      <c r="AK238" s="30">
        <v>0</v>
      </c>
      <c r="AL238" s="30">
        <v>0</v>
      </c>
      <c r="AM238" s="30">
        <v>0</v>
      </c>
      <c r="AN238" s="30">
        <v>0</v>
      </c>
      <c r="AO238" s="30">
        <v>0</v>
      </c>
      <c r="AP238" s="30">
        <v>0</v>
      </c>
      <c r="AQ238" s="30">
        <v>0</v>
      </c>
      <c r="AR238" s="30">
        <v>0</v>
      </c>
      <c r="AS238" s="30">
        <v>0</v>
      </c>
      <c r="AT238" s="30">
        <v>0</v>
      </c>
      <c r="AU238" s="30">
        <v>0</v>
      </c>
      <c r="AV238" s="30">
        <v>0</v>
      </c>
      <c r="AW238" s="30">
        <v>0</v>
      </c>
      <c r="AX238" s="30">
        <v>0</v>
      </c>
      <c r="AY238" s="30">
        <v>0</v>
      </c>
    </row>
    <row r="239" spans="1:51">
      <c r="A239" s="30" t="s">
        <v>619</v>
      </c>
      <c r="B239" s="30" t="s">
        <v>761</v>
      </c>
      <c r="C239" s="30">
        <v>5</v>
      </c>
      <c r="D239" s="30">
        <v>2</v>
      </c>
      <c r="E239" s="30">
        <v>10</v>
      </c>
      <c r="F239" s="30" t="s">
        <v>621</v>
      </c>
      <c r="G239" s="30" t="s">
        <v>648</v>
      </c>
      <c r="H239" s="30">
        <v>1.6094379999999999</v>
      </c>
      <c r="I239" s="30">
        <v>0.69314699999999996</v>
      </c>
      <c r="J239" s="30">
        <v>1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  <c r="AE239" s="30">
        <v>0</v>
      </c>
      <c r="AF239" s="30">
        <v>0</v>
      </c>
      <c r="AG239" s="30">
        <v>0</v>
      </c>
      <c r="AH239" s="30">
        <v>0</v>
      </c>
      <c r="AI239" s="30">
        <v>0</v>
      </c>
      <c r="AJ239" s="30">
        <v>0</v>
      </c>
      <c r="AK239" s="30">
        <v>0</v>
      </c>
      <c r="AL239" s="30">
        <v>0</v>
      </c>
      <c r="AM239" s="30">
        <v>0</v>
      </c>
      <c r="AN239" s="30">
        <v>0</v>
      </c>
      <c r="AO239" s="30">
        <v>1</v>
      </c>
      <c r="AP239" s="30">
        <v>0</v>
      </c>
      <c r="AQ239" s="30">
        <v>0</v>
      </c>
      <c r="AR239" s="30">
        <v>0</v>
      </c>
      <c r="AS239" s="30">
        <v>0</v>
      </c>
      <c r="AT239" s="30">
        <v>0</v>
      </c>
      <c r="AU239" s="30">
        <v>0</v>
      </c>
      <c r="AV239" s="30">
        <v>0</v>
      </c>
      <c r="AW239" s="30">
        <v>0</v>
      </c>
      <c r="AX239" s="30">
        <v>0</v>
      </c>
      <c r="AY239" s="30">
        <v>0</v>
      </c>
    </row>
    <row r="240" spans="1:51">
      <c r="A240" s="30" t="s">
        <v>619</v>
      </c>
      <c r="B240" s="30" t="s">
        <v>762</v>
      </c>
      <c r="C240" s="30">
        <v>75</v>
      </c>
      <c r="D240" s="30">
        <v>3</v>
      </c>
      <c r="E240" s="30">
        <v>225</v>
      </c>
      <c r="F240" s="30" t="s">
        <v>626</v>
      </c>
      <c r="G240" s="30" t="s">
        <v>737</v>
      </c>
      <c r="H240" s="30">
        <v>4.317488</v>
      </c>
      <c r="I240" s="30">
        <v>1.0986119999999999</v>
      </c>
      <c r="J240" s="30">
        <v>1</v>
      </c>
      <c r="K240" s="30">
        <v>0</v>
      </c>
      <c r="L240" s="30">
        <v>0</v>
      </c>
      <c r="M240" s="30">
        <v>1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1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30">
        <v>0</v>
      </c>
      <c r="AG240" s="30">
        <v>0</v>
      </c>
      <c r="AH240" s="30">
        <v>0</v>
      </c>
      <c r="AI240" s="30">
        <v>0</v>
      </c>
      <c r="AJ240" s="30">
        <v>0</v>
      </c>
      <c r="AK240" s="30">
        <v>0</v>
      </c>
      <c r="AL240" s="30">
        <v>0</v>
      </c>
      <c r="AM240" s="30">
        <v>0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0</v>
      </c>
      <c r="AT240" s="30">
        <v>0</v>
      </c>
      <c r="AU240" s="30">
        <v>0</v>
      </c>
      <c r="AV240" s="30">
        <v>0</v>
      </c>
      <c r="AW240" s="30">
        <v>0</v>
      </c>
      <c r="AX240" s="30">
        <v>0</v>
      </c>
      <c r="AY240" s="30">
        <v>0</v>
      </c>
    </row>
    <row r="241" spans="1:51">
      <c r="A241" s="30" t="s">
        <v>619</v>
      </c>
      <c r="B241" s="30" t="s">
        <v>763</v>
      </c>
      <c r="C241" s="30">
        <v>1</v>
      </c>
      <c r="D241" s="30">
        <v>886</v>
      </c>
      <c r="E241" s="30">
        <v>832.4</v>
      </c>
      <c r="F241" s="30" t="s">
        <v>626</v>
      </c>
      <c r="G241" s="30" t="s">
        <v>627</v>
      </c>
      <c r="H241" s="30">
        <v>0</v>
      </c>
      <c r="I241" s="30">
        <v>6.7867170000000003</v>
      </c>
      <c r="J241" s="30">
        <v>1</v>
      </c>
      <c r="K241" s="30">
        <v>0</v>
      </c>
      <c r="L241" s="30">
        <v>0</v>
      </c>
      <c r="M241" s="30">
        <v>1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30">
        <v>0</v>
      </c>
      <c r="AG241" s="30">
        <v>0</v>
      </c>
      <c r="AH241" s="30">
        <v>0</v>
      </c>
      <c r="AI241" s="30">
        <v>0</v>
      </c>
      <c r="AJ241" s="30">
        <v>1</v>
      </c>
      <c r="AK241" s="30">
        <v>0</v>
      </c>
      <c r="AL241" s="30">
        <v>0</v>
      </c>
      <c r="AM241" s="30">
        <v>0</v>
      </c>
      <c r="AN241" s="30">
        <v>0</v>
      </c>
      <c r="AO241" s="30">
        <v>0</v>
      </c>
      <c r="AP241" s="30">
        <v>0</v>
      </c>
      <c r="AQ241" s="30">
        <v>0</v>
      </c>
      <c r="AR241" s="30">
        <v>0</v>
      </c>
      <c r="AS241" s="30">
        <v>0</v>
      </c>
      <c r="AT241" s="30">
        <v>0</v>
      </c>
      <c r="AU241" s="30">
        <v>0</v>
      </c>
      <c r="AV241" s="30">
        <v>0</v>
      </c>
      <c r="AW241" s="30">
        <v>0</v>
      </c>
      <c r="AX241" s="30">
        <v>0</v>
      </c>
      <c r="AY241" s="30">
        <v>0</v>
      </c>
    </row>
    <row r="242" spans="1:51">
      <c r="A242" s="30" t="s">
        <v>619</v>
      </c>
      <c r="B242" s="30" t="s">
        <v>764</v>
      </c>
      <c r="C242" s="30">
        <v>1</v>
      </c>
      <c r="D242" s="30">
        <v>3</v>
      </c>
      <c r="E242" s="30">
        <v>3</v>
      </c>
      <c r="F242" s="30" t="s">
        <v>626</v>
      </c>
      <c r="G242" s="30" t="s">
        <v>638</v>
      </c>
      <c r="H242" s="30">
        <v>0</v>
      </c>
      <c r="I242" s="30">
        <v>1.0986119999999999</v>
      </c>
      <c r="J242" s="30">
        <v>1</v>
      </c>
      <c r="K242" s="30">
        <v>0</v>
      </c>
      <c r="L242" s="30">
        <v>0</v>
      </c>
      <c r="M242" s="30">
        <v>1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  <c r="AE242" s="30">
        <v>0</v>
      </c>
      <c r="AF242" s="30">
        <v>0</v>
      </c>
      <c r="AG242" s="30">
        <v>0</v>
      </c>
      <c r="AH242" s="30">
        <v>0</v>
      </c>
      <c r="AI242" s="30">
        <v>0</v>
      </c>
      <c r="AJ242" s="30">
        <v>0</v>
      </c>
      <c r="AK242" s="30">
        <v>0</v>
      </c>
      <c r="AL242" s="30">
        <v>0</v>
      </c>
      <c r="AM242" s="30">
        <v>0</v>
      </c>
      <c r="AN242" s="30">
        <v>0</v>
      </c>
      <c r="AO242" s="30">
        <v>0</v>
      </c>
      <c r="AP242" s="30">
        <v>0</v>
      </c>
      <c r="AQ242" s="30">
        <v>0</v>
      </c>
      <c r="AR242" s="30">
        <v>0</v>
      </c>
      <c r="AS242" s="30">
        <v>0</v>
      </c>
      <c r="AT242" s="30">
        <v>0</v>
      </c>
      <c r="AU242" s="30">
        <v>0</v>
      </c>
      <c r="AV242" s="30">
        <v>0</v>
      </c>
      <c r="AW242" s="30">
        <v>0</v>
      </c>
      <c r="AX242" s="30">
        <v>0</v>
      </c>
      <c r="AY242" s="30">
        <v>0</v>
      </c>
    </row>
    <row r="243" spans="1:51">
      <c r="A243" s="30" t="s">
        <v>619</v>
      </c>
      <c r="B243" s="30" t="s">
        <v>765</v>
      </c>
      <c r="C243" s="30">
        <v>1</v>
      </c>
      <c r="D243" s="30">
        <v>3</v>
      </c>
      <c r="E243" s="30">
        <v>3</v>
      </c>
      <c r="F243" s="30" t="s">
        <v>621</v>
      </c>
      <c r="G243" s="30" t="s">
        <v>622</v>
      </c>
      <c r="H243" s="30">
        <v>0</v>
      </c>
      <c r="I243" s="30">
        <v>1.0986119999999999</v>
      </c>
      <c r="J243" s="30">
        <v>1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1</v>
      </c>
      <c r="AC243" s="30">
        <v>0</v>
      </c>
      <c r="AD243" s="30">
        <v>0</v>
      </c>
      <c r="AE243" s="30">
        <v>0</v>
      </c>
      <c r="AF243" s="30">
        <v>0</v>
      </c>
      <c r="AG243" s="30">
        <v>0</v>
      </c>
      <c r="AH243" s="30">
        <v>0</v>
      </c>
      <c r="AI243" s="30">
        <v>0</v>
      </c>
      <c r="AJ243" s="30">
        <v>0</v>
      </c>
      <c r="AK243" s="30">
        <v>0</v>
      </c>
      <c r="AL243" s="30">
        <v>0</v>
      </c>
      <c r="AM243" s="30">
        <v>0</v>
      </c>
      <c r="AN243" s="30">
        <v>0</v>
      </c>
      <c r="AO243" s="30">
        <v>0</v>
      </c>
      <c r="AP243" s="30">
        <v>0</v>
      </c>
      <c r="AQ243" s="30">
        <v>0</v>
      </c>
      <c r="AR243" s="30">
        <v>0</v>
      </c>
      <c r="AS243" s="30">
        <v>0</v>
      </c>
      <c r="AT243" s="30">
        <v>0</v>
      </c>
      <c r="AU243" s="30">
        <v>0</v>
      </c>
      <c r="AV243" s="30">
        <v>0</v>
      </c>
      <c r="AW243" s="30">
        <v>0</v>
      </c>
      <c r="AX243" s="30">
        <v>0</v>
      </c>
      <c r="AY243" s="30">
        <v>0</v>
      </c>
    </row>
    <row r="244" spans="1:51">
      <c r="A244" s="30" t="s">
        <v>619</v>
      </c>
      <c r="B244" s="30" t="s">
        <v>766</v>
      </c>
      <c r="C244" s="30">
        <v>10</v>
      </c>
      <c r="D244" s="30">
        <v>3</v>
      </c>
      <c r="E244" s="30">
        <v>30</v>
      </c>
      <c r="F244" s="30" t="s">
        <v>626</v>
      </c>
      <c r="G244" s="30" t="s">
        <v>642</v>
      </c>
      <c r="H244" s="30">
        <v>2.3025850000000001</v>
      </c>
      <c r="I244" s="30">
        <v>1.0986119999999999</v>
      </c>
      <c r="J244" s="30">
        <v>1</v>
      </c>
      <c r="K244" s="30">
        <v>0</v>
      </c>
      <c r="L244" s="30">
        <v>0</v>
      </c>
      <c r="M244" s="30">
        <v>1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1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30">
        <v>0</v>
      </c>
      <c r="AE244" s="30">
        <v>0</v>
      </c>
      <c r="AF244" s="30">
        <v>0</v>
      </c>
      <c r="AG244" s="30">
        <v>0</v>
      </c>
      <c r="AH244" s="30">
        <v>0</v>
      </c>
      <c r="AI244" s="30">
        <v>0</v>
      </c>
      <c r="AJ244" s="30">
        <v>0</v>
      </c>
      <c r="AK244" s="30">
        <v>0</v>
      </c>
      <c r="AL244" s="30">
        <v>0</v>
      </c>
      <c r="AM244" s="30">
        <v>0</v>
      </c>
      <c r="AN244" s="30">
        <v>0</v>
      </c>
      <c r="AO244" s="30">
        <v>0</v>
      </c>
      <c r="AP244" s="30">
        <v>0</v>
      </c>
      <c r="AQ244" s="30">
        <v>0</v>
      </c>
      <c r="AR244" s="30">
        <v>0</v>
      </c>
      <c r="AS244" s="30">
        <v>0</v>
      </c>
      <c r="AT244" s="30">
        <v>0</v>
      </c>
      <c r="AU244" s="30">
        <v>0</v>
      </c>
      <c r="AV244" s="30">
        <v>0</v>
      </c>
      <c r="AW244" s="30">
        <v>0</v>
      </c>
      <c r="AX244" s="30">
        <v>0</v>
      </c>
      <c r="AY244" s="30">
        <v>0</v>
      </c>
    </row>
    <row r="245" spans="1:51">
      <c r="A245" s="30" t="s">
        <v>619</v>
      </c>
      <c r="B245" s="30" t="s">
        <v>767</v>
      </c>
      <c r="C245" s="30">
        <v>1</v>
      </c>
      <c r="D245" s="30">
        <v>2058</v>
      </c>
      <c r="E245" s="30">
        <v>2056</v>
      </c>
      <c r="F245" s="30" t="s">
        <v>626</v>
      </c>
      <c r="G245" s="30" t="s">
        <v>627</v>
      </c>
      <c r="H245" s="30">
        <v>0</v>
      </c>
      <c r="I245" s="30">
        <v>7.6294899999999997</v>
      </c>
      <c r="J245" s="30">
        <v>1</v>
      </c>
      <c r="K245" s="30">
        <v>0</v>
      </c>
      <c r="L245" s="30">
        <v>0</v>
      </c>
      <c r="M245" s="30">
        <v>1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30">
        <v>0</v>
      </c>
      <c r="AG245" s="30">
        <v>0</v>
      </c>
      <c r="AH245" s="30">
        <v>0</v>
      </c>
      <c r="AI245" s="30">
        <v>0</v>
      </c>
      <c r="AJ245" s="30">
        <v>1</v>
      </c>
      <c r="AK245" s="30">
        <v>0</v>
      </c>
      <c r="AL245" s="30">
        <v>0</v>
      </c>
      <c r="AM245" s="30">
        <v>0</v>
      </c>
      <c r="AN245" s="30">
        <v>0</v>
      </c>
      <c r="AO245" s="30">
        <v>0</v>
      </c>
      <c r="AP245" s="30">
        <v>0</v>
      </c>
      <c r="AQ245" s="30">
        <v>0</v>
      </c>
      <c r="AR245" s="30">
        <v>0</v>
      </c>
      <c r="AS245" s="30">
        <v>0</v>
      </c>
      <c r="AT245" s="30">
        <v>0</v>
      </c>
      <c r="AU245" s="30">
        <v>0</v>
      </c>
      <c r="AV245" s="30">
        <v>0</v>
      </c>
      <c r="AW245" s="30">
        <v>0</v>
      </c>
      <c r="AX245" s="30">
        <v>0</v>
      </c>
      <c r="AY245" s="30">
        <v>0</v>
      </c>
    </row>
    <row r="246" spans="1:51">
      <c r="A246" s="30" t="s">
        <v>619</v>
      </c>
      <c r="B246" s="30" t="s">
        <v>768</v>
      </c>
      <c r="C246" s="30">
        <v>3</v>
      </c>
      <c r="D246" s="30">
        <v>3</v>
      </c>
      <c r="E246" s="30">
        <v>9</v>
      </c>
      <c r="F246" s="30" t="s">
        <v>621</v>
      </c>
      <c r="G246" s="30" t="s">
        <v>648</v>
      </c>
      <c r="H246" s="30">
        <v>1.0986119999999999</v>
      </c>
      <c r="I246" s="30">
        <v>1.0986119999999999</v>
      </c>
      <c r="J246" s="30">
        <v>1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30">
        <v>0</v>
      </c>
      <c r="AE246" s="30">
        <v>0</v>
      </c>
      <c r="AF246" s="30">
        <v>0</v>
      </c>
      <c r="AG246" s="30">
        <v>0</v>
      </c>
      <c r="AH246" s="30">
        <v>0</v>
      </c>
      <c r="AI246" s="30">
        <v>0</v>
      </c>
      <c r="AJ246" s="30">
        <v>0</v>
      </c>
      <c r="AK246" s="30">
        <v>0</v>
      </c>
      <c r="AL246" s="30">
        <v>0</v>
      </c>
      <c r="AM246" s="30">
        <v>0</v>
      </c>
      <c r="AN246" s="30">
        <v>0</v>
      </c>
      <c r="AO246" s="30">
        <v>1</v>
      </c>
      <c r="AP246" s="30">
        <v>0</v>
      </c>
      <c r="AQ246" s="30">
        <v>0</v>
      </c>
      <c r="AR246" s="30">
        <v>0</v>
      </c>
      <c r="AS246" s="30">
        <v>0</v>
      </c>
      <c r="AT246" s="30">
        <v>0</v>
      </c>
      <c r="AU246" s="30">
        <v>0</v>
      </c>
      <c r="AV246" s="30">
        <v>0</v>
      </c>
      <c r="AW246" s="30">
        <v>0</v>
      </c>
      <c r="AX246" s="30">
        <v>0</v>
      </c>
      <c r="AY246" s="30">
        <v>0</v>
      </c>
    </row>
    <row r="247" spans="1:51">
      <c r="A247" s="30" t="s">
        <v>619</v>
      </c>
      <c r="B247" s="30" t="s">
        <v>769</v>
      </c>
      <c r="C247" s="30">
        <v>3</v>
      </c>
      <c r="D247" s="30">
        <v>3</v>
      </c>
      <c r="E247" s="30">
        <v>9</v>
      </c>
      <c r="F247" s="30" t="s">
        <v>621</v>
      </c>
      <c r="G247" s="30" t="s">
        <v>648</v>
      </c>
      <c r="H247" s="30">
        <v>1.0986119999999999</v>
      </c>
      <c r="I247" s="30">
        <v>1.0986119999999999</v>
      </c>
      <c r="J247" s="30">
        <v>1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30">
        <v>0</v>
      </c>
      <c r="AG247" s="30">
        <v>0</v>
      </c>
      <c r="AH247" s="30">
        <v>0</v>
      </c>
      <c r="AI247" s="30">
        <v>0</v>
      </c>
      <c r="AJ247" s="30">
        <v>0</v>
      </c>
      <c r="AK247" s="30">
        <v>0</v>
      </c>
      <c r="AL247" s="30">
        <v>0</v>
      </c>
      <c r="AM247" s="30">
        <v>0</v>
      </c>
      <c r="AN247" s="30">
        <v>0</v>
      </c>
      <c r="AO247" s="30">
        <v>1</v>
      </c>
      <c r="AP247" s="30">
        <v>0</v>
      </c>
      <c r="AQ247" s="30">
        <v>0</v>
      </c>
      <c r="AR247" s="30">
        <v>0</v>
      </c>
      <c r="AS247" s="30">
        <v>0</v>
      </c>
      <c r="AT247" s="30">
        <v>0</v>
      </c>
      <c r="AU247" s="30">
        <v>0</v>
      </c>
      <c r="AV247" s="30">
        <v>0</v>
      </c>
      <c r="AW247" s="30">
        <v>0</v>
      </c>
      <c r="AX247" s="30">
        <v>0</v>
      </c>
      <c r="AY247" s="30">
        <v>0</v>
      </c>
    </row>
    <row r="248" spans="1:51">
      <c r="A248" s="30" t="s">
        <v>619</v>
      </c>
      <c r="B248" s="30" t="s">
        <v>770</v>
      </c>
      <c r="C248" s="30">
        <v>1</v>
      </c>
      <c r="D248" s="30">
        <v>4</v>
      </c>
      <c r="E248" s="30">
        <v>4</v>
      </c>
      <c r="F248" s="30" t="s">
        <v>621</v>
      </c>
      <c r="G248" s="30" t="s">
        <v>648</v>
      </c>
      <c r="H248" s="30">
        <v>0</v>
      </c>
      <c r="I248" s="30">
        <v>1.3862939999999999</v>
      </c>
      <c r="J248" s="30">
        <v>1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30">
        <v>0</v>
      </c>
      <c r="AG248" s="30">
        <v>0</v>
      </c>
      <c r="AH248" s="30">
        <v>0</v>
      </c>
      <c r="AI248" s="30">
        <v>0</v>
      </c>
      <c r="AJ248" s="30">
        <v>0</v>
      </c>
      <c r="AK248" s="30">
        <v>0</v>
      </c>
      <c r="AL248" s="30">
        <v>0</v>
      </c>
      <c r="AM248" s="30">
        <v>0</v>
      </c>
      <c r="AN248" s="30">
        <v>0</v>
      </c>
      <c r="AO248" s="30">
        <v>1</v>
      </c>
      <c r="AP248" s="30">
        <v>0</v>
      </c>
      <c r="AQ248" s="30">
        <v>0</v>
      </c>
      <c r="AR248" s="30">
        <v>0</v>
      </c>
      <c r="AS248" s="30">
        <v>0</v>
      </c>
      <c r="AT248" s="30">
        <v>0</v>
      </c>
      <c r="AU248" s="30">
        <v>0</v>
      </c>
      <c r="AV248" s="30">
        <v>0</v>
      </c>
      <c r="AW248" s="30">
        <v>0</v>
      </c>
      <c r="AX248" s="30">
        <v>0</v>
      </c>
      <c r="AY248" s="30">
        <v>0</v>
      </c>
    </row>
    <row r="249" spans="1:51">
      <c r="A249" s="30" t="s">
        <v>619</v>
      </c>
      <c r="B249" s="30" t="s">
        <v>771</v>
      </c>
      <c r="C249" s="30">
        <v>3</v>
      </c>
      <c r="D249" s="30">
        <v>4</v>
      </c>
      <c r="E249" s="30">
        <v>12</v>
      </c>
      <c r="F249" s="30" t="s">
        <v>621</v>
      </c>
      <c r="G249" s="30" t="s">
        <v>698</v>
      </c>
      <c r="H249" s="30">
        <v>1.0986119999999999</v>
      </c>
      <c r="I249" s="30">
        <v>1.3862939999999999</v>
      </c>
      <c r="J249" s="30">
        <v>1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30">
        <v>0</v>
      </c>
      <c r="AG249" s="30">
        <v>0</v>
      </c>
      <c r="AH249" s="30">
        <v>0</v>
      </c>
      <c r="AI249" s="30">
        <v>0</v>
      </c>
      <c r="AJ249" s="30">
        <v>0</v>
      </c>
      <c r="AK249" s="30">
        <v>0</v>
      </c>
      <c r="AL249" s="30">
        <v>0</v>
      </c>
      <c r="AM249" s="30">
        <v>0</v>
      </c>
      <c r="AN249" s="30">
        <v>0</v>
      </c>
      <c r="AO249" s="30">
        <v>0</v>
      </c>
      <c r="AP249" s="30">
        <v>0</v>
      </c>
      <c r="AQ249" s="30">
        <v>0</v>
      </c>
      <c r="AR249" s="30">
        <v>0</v>
      </c>
      <c r="AS249" s="30">
        <v>0</v>
      </c>
      <c r="AT249" s="30">
        <v>0</v>
      </c>
      <c r="AU249" s="30">
        <v>0</v>
      </c>
      <c r="AV249" s="30">
        <v>1</v>
      </c>
      <c r="AW249" s="30">
        <v>0</v>
      </c>
      <c r="AX249" s="30">
        <v>0</v>
      </c>
      <c r="AY249" s="30">
        <v>0</v>
      </c>
    </row>
    <row r="250" spans="1:51">
      <c r="A250" s="30" t="s">
        <v>619</v>
      </c>
      <c r="B250" s="30" t="s">
        <v>772</v>
      </c>
      <c r="C250" s="30">
        <v>1</v>
      </c>
      <c r="D250" s="30">
        <v>5</v>
      </c>
      <c r="E250" s="30">
        <v>5</v>
      </c>
      <c r="F250" s="30" t="s">
        <v>626</v>
      </c>
      <c r="G250" s="30" t="s">
        <v>638</v>
      </c>
      <c r="H250" s="30">
        <v>0</v>
      </c>
      <c r="I250" s="30">
        <v>1.6094379999999999</v>
      </c>
      <c r="J250" s="30">
        <v>1</v>
      </c>
      <c r="K250" s="30">
        <v>0</v>
      </c>
      <c r="L250" s="30">
        <v>0</v>
      </c>
      <c r="M250" s="30">
        <v>1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30">
        <v>0</v>
      </c>
      <c r="AG250" s="30">
        <v>0</v>
      </c>
      <c r="AH250" s="30">
        <v>0</v>
      </c>
      <c r="AI250" s="30">
        <v>0</v>
      </c>
      <c r="AJ250" s="30">
        <v>0</v>
      </c>
      <c r="AK250" s="30">
        <v>0</v>
      </c>
      <c r="AL250" s="30">
        <v>0</v>
      </c>
      <c r="AM250" s="30">
        <v>0</v>
      </c>
      <c r="AN250" s="30">
        <v>0</v>
      </c>
      <c r="AO250" s="30">
        <v>0</v>
      </c>
      <c r="AP250" s="30">
        <v>0</v>
      </c>
      <c r="AQ250" s="30">
        <v>0</v>
      </c>
      <c r="AR250" s="30">
        <v>0</v>
      </c>
      <c r="AS250" s="30">
        <v>0</v>
      </c>
      <c r="AT250" s="30">
        <v>0</v>
      </c>
      <c r="AU250" s="30">
        <v>0</v>
      </c>
      <c r="AV250" s="30">
        <v>0</v>
      </c>
      <c r="AW250" s="30">
        <v>0</v>
      </c>
      <c r="AX250" s="30">
        <v>0</v>
      </c>
      <c r="AY250" s="30">
        <v>0</v>
      </c>
    </row>
    <row r="251" spans="1:51">
      <c r="A251" s="30" t="s">
        <v>619</v>
      </c>
      <c r="B251" s="30" t="s">
        <v>773</v>
      </c>
      <c r="C251" s="30">
        <v>1</v>
      </c>
      <c r="D251" s="30">
        <v>5</v>
      </c>
      <c r="E251" s="30">
        <v>5</v>
      </c>
      <c r="F251" s="30" t="s">
        <v>626</v>
      </c>
      <c r="G251" s="30" t="s">
        <v>638</v>
      </c>
      <c r="H251" s="30">
        <v>0</v>
      </c>
      <c r="I251" s="30">
        <v>1.6094379999999999</v>
      </c>
      <c r="J251" s="30">
        <v>1</v>
      </c>
      <c r="K251" s="30">
        <v>0</v>
      </c>
      <c r="L251" s="30">
        <v>0</v>
      </c>
      <c r="M251" s="30">
        <v>1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30">
        <v>0</v>
      </c>
      <c r="AG251" s="30">
        <v>0</v>
      </c>
      <c r="AH251" s="30">
        <v>0</v>
      </c>
      <c r="AI251" s="30">
        <v>0</v>
      </c>
      <c r="AJ251" s="30">
        <v>0</v>
      </c>
      <c r="AK251" s="30">
        <v>0</v>
      </c>
      <c r="AL251" s="30">
        <v>0</v>
      </c>
      <c r="AM251" s="30">
        <v>0</v>
      </c>
      <c r="AN251" s="30">
        <v>0</v>
      </c>
      <c r="AO251" s="30">
        <v>0</v>
      </c>
      <c r="AP251" s="30">
        <v>0</v>
      </c>
      <c r="AQ251" s="30">
        <v>0</v>
      </c>
      <c r="AR251" s="30">
        <v>0</v>
      </c>
      <c r="AS251" s="30">
        <v>0</v>
      </c>
      <c r="AT251" s="30">
        <v>0</v>
      </c>
      <c r="AU251" s="30">
        <v>0</v>
      </c>
      <c r="AV251" s="30">
        <v>0</v>
      </c>
      <c r="AW251" s="30">
        <v>0</v>
      </c>
      <c r="AX251" s="30">
        <v>0</v>
      </c>
      <c r="AY251" s="30">
        <v>0</v>
      </c>
    </row>
    <row r="252" spans="1:51">
      <c r="A252" s="30" t="s">
        <v>619</v>
      </c>
      <c r="B252" s="30" t="s">
        <v>774</v>
      </c>
      <c r="C252" s="30">
        <v>1</v>
      </c>
      <c r="D252" s="30">
        <v>5</v>
      </c>
      <c r="E252" s="30">
        <v>5</v>
      </c>
      <c r="F252" s="30" t="s">
        <v>626</v>
      </c>
      <c r="G252" s="30" t="s">
        <v>638</v>
      </c>
      <c r="H252" s="30">
        <v>0</v>
      </c>
      <c r="I252" s="30">
        <v>1.6094379999999999</v>
      </c>
      <c r="J252" s="30">
        <v>1</v>
      </c>
      <c r="K252" s="30">
        <v>0</v>
      </c>
      <c r="L252" s="30">
        <v>0</v>
      </c>
      <c r="M252" s="30">
        <v>1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30">
        <v>0</v>
      </c>
      <c r="AG252" s="30">
        <v>0</v>
      </c>
      <c r="AH252" s="30">
        <v>0</v>
      </c>
      <c r="AI252" s="30">
        <v>0</v>
      </c>
      <c r="AJ252" s="30">
        <v>0</v>
      </c>
      <c r="AK252" s="30">
        <v>0</v>
      </c>
      <c r="AL252" s="30">
        <v>0</v>
      </c>
      <c r="AM252" s="30">
        <v>0</v>
      </c>
      <c r="AN252" s="30">
        <v>0</v>
      </c>
      <c r="AO252" s="30">
        <v>0</v>
      </c>
      <c r="AP252" s="30">
        <v>0</v>
      </c>
      <c r="AQ252" s="30">
        <v>0</v>
      </c>
      <c r="AR252" s="30">
        <v>0</v>
      </c>
      <c r="AS252" s="30">
        <v>0</v>
      </c>
      <c r="AT252" s="30">
        <v>0</v>
      </c>
      <c r="AU252" s="30">
        <v>0</v>
      </c>
      <c r="AV252" s="30">
        <v>0</v>
      </c>
      <c r="AW252" s="30">
        <v>0</v>
      </c>
      <c r="AX252" s="30">
        <v>0</v>
      </c>
      <c r="AY252" s="30">
        <v>0</v>
      </c>
    </row>
    <row r="253" spans="1:51">
      <c r="A253" s="30" t="s">
        <v>619</v>
      </c>
      <c r="B253" s="30" t="s">
        <v>775</v>
      </c>
      <c r="C253" s="30">
        <v>25</v>
      </c>
      <c r="D253" s="30">
        <v>10</v>
      </c>
      <c r="E253" s="30">
        <v>250</v>
      </c>
      <c r="F253" s="30" t="s">
        <v>626</v>
      </c>
      <c r="G253" s="30" t="s">
        <v>737</v>
      </c>
      <c r="H253" s="30">
        <v>3.2188759999999998</v>
      </c>
      <c r="I253" s="30">
        <v>2.3025850000000001</v>
      </c>
      <c r="J253" s="30">
        <v>1</v>
      </c>
      <c r="K253" s="30">
        <v>0</v>
      </c>
      <c r="L253" s="30">
        <v>0</v>
      </c>
      <c r="M253" s="30">
        <v>1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1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30">
        <v>0</v>
      </c>
      <c r="AG253" s="30">
        <v>0</v>
      </c>
      <c r="AH253" s="30">
        <v>0</v>
      </c>
      <c r="AI253" s="30">
        <v>0</v>
      </c>
      <c r="AJ253" s="30">
        <v>0</v>
      </c>
      <c r="AK253" s="30">
        <v>0</v>
      </c>
      <c r="AL253" s="30">
        <v>0</v>
      </c>
      <c r="AM253" s="30">
        <v>0</v>
      </c>
      <c r="AN253" s="30">
        <v>0</v>
      </c>
      <c r="AO253" s="30">
        <v>0</v>
      </c>
      <c r="AP253" s="30">
        <v>0</v>
      </c>
      <c r="AQ253" s="30">
        <v>0</v>
      </c>
      <c r="AR253" s="30">
        <v>0</v>
      </c>
      <c r="AS253" s="30">
        <v>0</v>
      </c>
      <c r="AT253" s="30">
        <v>0</v>
      </c>
      <c r="AU253" s="30">
        <v>0</v>
      </c>
      <c r="AV253" s="30">
        <v>0</v>
      </c>
      <c r="AW253" s="30">
        <v>0</v>
      </c>
      <c r="AX253" s="30">
        <v>0</v>
      </c>
      <c r="AY253" s="30">
        <v>0</v>
      </c>
    </row>
    <row r="254" spans="1:51">
      <c r="A254" s="30" t="s">
        <v>619</v>
      </c>
      <c r="B254" s="30" t="s">
        <v>776</v>
      </c>
      <c r="C254" s="30">
        <v>70</v>
      </c>
      <c r="D254" s="30">
        <v>11</v>
      </c>
      <c r="E254" s="30">
        <v>770</v>
      </c>
      <c r="F254" s="30" t="s">
        <v>621</v>
      </c>
      <c r="G254" s="30" t="s">
        <v>737</v>
      </c>
      <c r="H254" s="30">
        <v>4.2484950000000001</v>
      </c>
      <c r="I254" s="30">
        <v>2.3978950000000001</v>
      </c>
      <c r="J254" s="30">
        <v>1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1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30">
        <v>0</v>
      </c>
      <c r="AG254" s="30">
        <v>0</v>
      </c>
      <c r="AH254" s="30">
        <v>0</v>
      </c>
      <c r="AI254" s="30">
        <v>0</v>
      </c>
      <c r="AJ254" s="30">
        <v>0</v>
      </c>
      <c r="AK254" s="30">
        <v>0</v>
      </c>
      <c r="AL254" s="30">
        <v>0</v>
      </c>
      <c r="AM254" s="30">
        <v>0</v>
      </c>
      <c r="AN254" s="30">
        <v>0</v>
      </c>
      <c r="AO254" s="30">
        <v>0</v>
      </c>
      <c r="AP254" s="30">
        <v>0</v>
      </c>
      <c r="AQ254" s="30">
        <v>0</v>
      </c>
      <c r="AR254" s="30">
        <v>0</v>
      </c>
      <c r="AS254" s="30">
        <v>0</v>
      </c>
      <c r="AT254" s="30">
        <v>0</v>
      </c>
      <c r="AU254" s="30">
        <v>0</v>
      </c>
      <c r="AV254" s="30">
        <v>0</v>
      </c>
      <c r="AW254" s="30">
        <v>0</v>
      </c>
      <c r="AX254" s="30">
        <v>0</v>
      </c>
      <c r="AY254" s="30">
        <v>0</v>
      </c>
    </row>
    <row r="255" spans="1:51">
      <c r="A255" s="30" t="s">
        <v>619</v>
      </c>
      <c r="B255" s="30" t="s">
        <v>777</v>
      </c>
      <c r="C255" s="30">
        <v>1</v>
      </c>
      <c r="D255" s="30">
        <v>29</v>
      </c>
      <c r="E255" s="30">
        <v>29</v>
      </c>
      <c r="F255" s="30" t="s">
        <v>626</v>
      </c>
      <c r="G255" s="30" t="s">
        <v>627</v>
      </c>
      <c r="H255" s="30">
        <v>0</v>
      </c>
      <c r="I255" s="30">
        <v>3.3672960000000001</v>
      </c>
      <c r="J255" s="30">
        <v>1</v>
      </c>
      <c r="K255" s="30">
        <v>0</v>
      </c>
      <c r="L255" s="30">
        <v>0</v>
      </c>
      <c r="M255" s="30">
        <v>1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30">
        <v>0</v>
      </c>
      <c r="AE255" s="30">
        <v>0</v>
      </c>
      <c r="AF255" s="30">
        <v>0</v>
      </c>
      <c r="AG255" s="30">
        <v>0</v>
      </c>
      <c r="AH255" s="30">
        <v>0</v>
      </c>
      <c r="AI255" s="30">
        <v>0</v>
      </c>
      <c r="AJ255" s="30">
        <v>1</v>
      </c>
      <c r="AK255" s="30">
        <v>0</v>
      </c>
      <c r="AL255" s="30">
        <v>0</v>
      </c>
      <c r="AM255" s="30">
        <v>0</v>
      </c>
      <c r="AN255" s="30">
        <v>0</v>
      </c>
      <c r="AO255" s="30">
        <v>0</v>
      </c>
      <c r="AP255" s="30">
        <v>0</v>
      </c>
      <c r="AQ255" s="30">
        <v>0</v>
      </c>
      <c r="AR255" s="30">
        <v>0</v>
      </c>
      <c r="AS255" s="30">
        <v>0</v>
      </c>
      <c r="AT255" s="30">
        <v>0</v>
      </c>
      <c r="AU255" s="30">
        <v>0</v>
      </c>
      <c r="AV255" s="30">
        <v>0</v>
      </c>
      <c r="AW255" s="30">
        <v>0</v>
      </c>
      <c r="AX255" s="30">
        <v>0</v>
      </c>
      <c r="AY255" s="30">
        <v>0</v>
      </c>
    </row>
    <row r="256" spans="1:51">
      <c r="A256" s="30" t="s">
        <v>619</v>
      </c>
      <c r="B256" s="30" t="s">
        <v>778</v>
      </c>
      <c r="C256" s="30">
        <v>10</v>
      </c>
      <c r="D256" s="30">
        <v>12</v>
      </c>
      <c r="E256" s="30">
        <v>60</v>
      </c>
      <c r="F256" s="30" t="s">
        <v>621</v>
      </c>
      <c r="G256" s="30" t="s">
        <v>648</v>
      </c>
      <c r="H256" s="30">
        <v>2.3025850000000001</v>
      </c>
      <c r="I256" s="30">
        <v>2.4849070000000002</v>
      </c>
      <c r="J256" s="30">
        <v>1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30">
        <v>0</v>
      </c>
      <c r="AG256" s="30">
        <v>0</v>
      </c>
      <c r="AH256" s="30">
        <v>0</v>
      </c>
      <c r="AI256" s="30">
        <v>0</v>
      </c>
      <c r="AJ256" s="30">
        <v>0</v>
      </c>
      <c r="AK256" s="30">
        <v>0</v>
      </c>
      <c r="AL256" s="30">
        <v>0</v>
      </c>
      <c r="AM256" s="30">
        <v>0</v>
      </c>
      <c r="AN256" s="30">
        <v>0</v>
      </c>
      <c r="AO256" s="30">
        <v>1</v>
      </c>
      <c r="AP256" s="30">
        <v>0</v>
      </c>
      <c r="AQ256" s="30">
        <v>0</v>
      </c>
      <c r="AR256" s="30">
        <v>0</v>
      </c>
      <c r="AS256" s="30">
        <v>0</v>
      </c>
      <c r="AT256" s="30">
        <v>0</v>
      </c>
      <c r="AU256" s="30">
        <v>0</v>
      </c>
      <c r="AV256" s="30">
        <v>0</v>
      </c>
      <c r="AW256" s="30">
        <v>0</v>
      </c>
      <c r="AX256" s="30">
        <v>0</v>
      </c>
      <c r="AY256" s="30">
        <v>0</v>
      </c>
    </row>
    <row r="257" spans="1:51">
      <c r="A257" s="30" t="s">
        <v>619</v>
      </c>
      <c r="B257" s="30" t="s">
        <v>779</v>
      </c>
      <c r="C257" s="30">
        <v>5</v>
      </c>
      <c r="D257" s="30">
        <v>13</v>
      </c>
      <c r="E257" s="30">
        <v>65</v>
      </c>
      <c r="F257" s="30" t="s">
        <v>621</v>
      </c>
      <c r="G257" s="30" t="s">
        <v>648</v>
      </c>
      <c r="H257" s="30">
        <v>1.6094379999999999</v>
      </c>
      <c r="I257" s="30">
        <v>2.5649489999999999</v>
      </c>
      <c r="J257" s="30">
        <v>1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  <c r="AE257" s="30">
        <v>0</v>
      </c>
      <c r="AF257" s="30">
        <v>0</v>
      </c>
      <c r="AG257" s="30">
        <v>0</v>
      </c>
      <c r="AH257" s="30">
        <v>0</v>
      </c>
      <c r="AI257" s="30">
        <v>0</v>
      </c>
      <c r="AJ257" s="30">
        <v>0</v>
      </c>
      <c r="AK257" s="30">
        <v>0</v>
      </c>
      <c r="AL257" s="30">
        <v>0</v>
      </c>
      <c r="AM257" s="30">
        <v>0</v>
      </c>
      <c r="AN257" s="30">
        <v>0</v>
      </c>
      <c r="AO257" s="30">
        <v>1</v>
      </c>
      <c r="AP257" s="30">
        <v>0</v>
      </c>
      <c r="AQ257" s="30">
        <v>0</v>
      </c>
      <c r="AR257" s="30">
        <v>0</v>
      </c>
      <c r="AS257" s="30">
        <v>0</v>
      </c>
      <c r="AT257" s="30">
        <v>0</v>
      </c>
      <c r="AU257" s="30">
        <v>0</v>
      </c>
      <c r="AV257" s="30">
        <v>0</v>
      </c>
      <c r="AW257" s="30">
        <v>0</v>
      </c>
      <c r="AX257" s="30">
        <v>0</v>
      </c>
      <c r="AY257" s="30">
        <v>0</v>
      </c>
    </row>
    <row r="258" spans="1:51">
      <c r="A258" s="30" t="s">
        <v>619</v>
      </c>
      <c r="B258" s="30" t="s">
        <v>780</v>
      </c>
      <c r="C258" s="30">
        <v>5</v>
      </c>
      <c r="D258" s="30">
        <v>13</v>
      </c>
      <c r="E258" s="30">
        <v>65</v>
      </c>
      <c r="F258" s="30" t="s">
        <v>621</v>
      </c>
      <c r="G258" s="30" t="s">
        <v>642</v>
      </c>
      <c r="H258" s="30">
        <v>1.6094379999999999</v>
      </c>
      <c r="I258" s="30">
        <v>2.5649489999999999</v>
      </c>
      <c r="J258" s="30">
        <v>1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1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30">
        <v>0</v>
      </c>
      <c r="AG258" s="30">
        <v>0</v>
      </c>
      <c r="AH258" s="30">
        <v>0</v>
      </c>
      <c r="AI258" s="30">
        <v>0</v>
      </c>
      <c r="AJ258" s="30">
        <v>0</v>
      </c>
      <c r="AK258" s="30">
        <v>0</v>
      </c>
      <c r="AL258" s="30">
        <v>0</v>
      </c>
      <c r="AM258" s="30">
        <v>0</v>
      </c>
      <c r="AN258" s="30">
        <v>0</v>
      </c>
      <c r="AO258" s="30">
        <v>0</v>
      </c>
      <c r="AP258" s="30">
        <v>0</v>
      </c>
      <c r="AQ258" s="30">
        <v>0</v>
      </c>
      <c r="AR258" s="30">
        <v>0</v>
      </c>
      <c r="AS258" s="30">
        <v>0</v>
      </c>
      <c r="AT258" s="30">
        <v>0</v>
      </c>
      <c r="AU258" s="30">
        <v>0</v>
      </c>
      <c r="AV258" s="30">
        <v>0</v>
      </c>
      <c r="AW258" s="30">
        <v>0</v>
      </c>
      <c r="AX258" s="30">
        <v>0</v>
      </c>
      <c r="AY258" s="30">
        <v>0</v>
      </c>
    </row>
    <row r="259" spans="1:51">
      <c r="A259" s="30" t="s">
        <v>619</v>
      </c>
      <c r="B259" s="30" t="s">
        <v>781</v>
      </c>
      <c r="C259" s="30">
        <v>1</v>
      </c>
      <c r="D259" s="30">
        <v>32</v>
      </c>
      <c r="E259" s="30">
        <v>31.2</v>
      </c>
      <c r="F259" s="30" t="s">
        <v>626</v>
      </c>
      <c r="G259" s="30" t="s">
        <v>627</v>
      </c>
      <c r="H259" s="30">
        <v>0</v>
      </c>
      <c r="I259" s="30">
        <v>3.4657360000000001</v>
      </c>
      <c r="J259" s="30">
        <v>1</v>
      </c>
      <c r="K259" s="30">
        <v>0</v>
      </c>
      <c r="L259" s="30">
        <v>0</v>
      </c>
      <c r="M259" s="30">
        <v>1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30">
        <v>0</v>
      </c>
      <c r="AG259" s="30">
        <v>0</v>
      </c>
      <c r="AH259" s="30">
        <v>0</v>
      </c>
      <c r="AI259" s="30">
        <v>0</v>
      </c>
      <c r="AJ259" s="30">
        <v>1</v>
      </c>
      <c r="AK259" s="30">
        <v>0</v>
      </c>
      <c r="AL259" s="30">
        <v>0</v>
      </c>
      <c r="AM259" s="30">
        <v>0</v>
      </c>
      <c r="AN259" s="30">
        <v>0</v>
      </c>
      <c r="AO259" s="30">
        <v>0</v>
      </c>
      <c r="AP259" s="30">
        <v>0</v>
      </c>
      <c r="AQ259" s="30">
        <v>0</v>
      </c>
      <c r="AR259" s="30">
        <v>0</v>
      </c>
      <c r="AS259" s="30">
        <v>0</v>
      </c>
      <c r="AT259" s="30">
        <v>0</v>
      </c>
      <c r="AU259" s="30">
        <v>0</v>
      </c>
      <c r="AV259" s="30">
        <v>0</v>
      </c>
      <c r="AW259" s="30">
        <v>0</v>
      </c>
      <c r="AX259" s="30">
        <v>0</v>
      </c>
      <c r="AY259" s="30">
        <v>0</v>
      </c>
    </row>
    <row r="260" spans="1:51">
      <c r="A260" s="30" t="s">
        <v>619</v>
      </c>
      <c r="B260" s="30" t="s">
        <v>782</v>
      </c>
      <c r="C260" s="30">
        <v>4</v>
      </c>
      <c r="D260" s="30">
        <v>6123</v>
      </c>
      <c r="E260" s="30">
        <v>24438</v>
      </c>
      <c r="F260" s="30" t="s">
        <v>621</v>
      </c>
      <c r="G260" s="30" t="s">
        <v>638</v>
      </c>
      <c r="H260" s="30">
        <v>1.3862939999999999</v>
      </c>
      <c r="I260" s="30">
        <v>8.7198069999999994</v>
      </c>
      <c r="J260" s="30">
        <v>1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30">
        <v>0</v>
      </c>
      <c r="AG260" s="30">
        <v>0</v>
      </c>
      <c r="AH260" s="30">
        <v>0</v>
      </c>
      <c r="AI260" s="30">
        <v>0</v>
      </c>
      <c r="AJ260" s="30">
        <v>0</v>
      </c>
      <c r="AK260" s="30">
        <v>0</v>
      </c>
      <c r="AL260" s="30">
        <v>0</v>
      </c>
      <c r="AM260" s="30">
        <v>0</v>
      </c>
      <c r="AN260" s="30">
        <v>0</v>
      </c>
      <c r="AO260" s="30">
        <v>0</v>
      </c>
      <c r="AP260" s="30">
        <v>0</v>
      </c>
      <c r="AQ260" s="30">
        <v>0</v>
      </c>
      <c r="AR260" s="30">
        <v>0</v>
      </c>
      <c r="AS260" s="30">
        <v>0</v>
      </c>
      <c r="AT260" s="30">
        <v>0</v>
      </c>
      <c r="AU260" s="30">
        <v>0</v>
      </c>
      <c r="AV260" s="30">
        <v>0</v>
      </c>
      <c r="AW260" s="30">
        <v>0</v>
      </c>
      <c r="AX260" s="30">
        <v>0</v>
      </c>
      <c r="AY260" s="30">
        <v>0</v>
      </c>
    </row>
    <row r="261" spans="1:51">
      <c r="A261" s="30" t="s">
        <v>619</v>
      </c>
      <c r="B261" s="30" t="s">
        <v>783</v>
      </c>
      <c r="C261" s="30">
        <v>1</v>
      </c>
      <c r="D261" s="30">
        <v>17</v>
      </c>
      <c r="E261" s="30">
        <v>17</v>
      </c>
      <c r="F261" s="30" t="s">
        <v>626</v>
      </c>
      <c r="G261" s="30" t="s">
        <v>638</v>
      </c>
      <c r="H261" s="30">
        <v>0</v>
      </c>
      <c r="I261" s="30">
        <v>2.8332130000000002</v>
      </c>
      <c r="J261" s="30">
        <v>1</v>
      </c>
      <c r="K261" s="30">
        <v>0</v>
      </c>
      <c r="L261" s="30">
        <v>0</v>
      </c>
      <c r="M261" s="30">
        <v>1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30">
        <v>0</v>
      </c>
      <c r="AG261" s="30">
        <v>0</v>
      </c>
      <c r="AH261" s="30">
        <v>0</v>
      </c>
      <c r="AI261" s="30">
        <v>0</v>
      </c>
      <c r="AJ261" s="30">
        <v>0</v>
      </c>
      <c r="AK261" s="30">
        <v>0</v>
      </c>
      <c r="AL261" s="30">
        <v>0</v>
      </c>
      <c r="AM261" s="30">
        <v>0</v>
      </c>
      <c r="AN261" s="30">
        <v>0</v>
      </c>
      <c r="AO261" s="30">
        <v>0</v>
      </c>
      <c r="AP261" s="30">
        <v>0</v>
      </c>
      <c r="AQ261" s="30">
        <v>0</v>
      </c>
      <c r="AR261" s="30">
        <v>0</v>
      </c>
      <c r="AS261" s="30">
        <v>0</v>
      </c>
      <c r="AT261" s="30">
        <v>0</v>
      </c>
      <c r="AU261" s="30">
        <v>0</v>
      </c>
      <c r="AV261" s="30">
        <v>0</v>
      </c>
      <c r="AW261" s="30">
        <v>0</v>
      </c>
      <c r="AX261" s="30">
        <v>0</v>
      </c>
      <c r="AY261" s="30">
        <v>0</v>
      </c>
    </row>
    <row r="262" spans="1:51">
      <c r="A262" s="30" t="s">
        <v>619</v>
      </c>
      <c r="B262" s="30" t="s">
        <v>784</v>
      </c>
      <c r="C262" s="30">
        <v>1</v>
      </c>
      <c r="D262" s="30">
        <v>247</v>
      </c>
      <c r="E262" s="30">
        <v>242.6</v>
      </c>
      <c r="F262" s="30" t="s">
        <v>626</v>
      </c>
      <c r="G262" s="30" t="s">
        <v>627</v>
      </c>
      <c r="H262" s="30">
        <v>0</v>
      </c>
      <c r="I262" s="30">
        <v>5.5093880000000004</v>
      </c>
      <c r="J262" s="30">
        <v>1</v>
      </c>
      <c r="K262" s="30">
        <v>0</v>
      </c>
      <c r="L262" s="30">
        <v>0</v>
      </c>
      <c r="M262" s="30">
        <v>1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30">
        <v>0</v>
      </c>
      <c r="AG262" s="30">
        <v>0</v>
      </c>
      <c r="AH262" s="30">
        <v>0</v>
      </c>
      <c r="AI262" s="30">
        <v>0</v>
      </c>
      <c r="AJ262" s="30">
        <v>1</v>
      </c>
      <c r="AK262" s="30">
        <v>0</v>
      </c>
      <c r="AL262" s="30">
        <v>0</v>
      </c>
      <c r="AM262" s="30">
        <v>0</v>
      </c>
      <c r="AN262" s="30">
        <v>0</v>
      </c>
      <c r="AO262" s="30">
        <v>0</v>
      </c>
      <c r="AP262" s="30">
        <v>0</v>
      </c>
      <c r="AQ262" s="30">
        <v>0</v>
      </c>
      <c r="AR262" s="30">
        <v>0</v>
      </c>
      <c r="AS262" s="30">
        <v>0</v>
      </c>
      <c r="AT262" s="30">
        <v>0</v>
      </c>
      <c r="AU262" s="30">
        <v>0</v>
      </c>
      <c r="AV262" s="30">
        <v>0</v>
      </c>
      <c r="AW262" s="30">
        <v>0</v>
      </c>
      <c r="AX262" s="30">
        <v>0</v>
      </c>
      <c r="AY262" s="30">
        <v>0</v>
      </c>
    </row>
    <row r="263" spans="1:51">
      <c r="A263" s="30" t="s">
        <v>619</v>
      </c>
      <c r="B263" s="30" t="s">
        <v>785</v>
      </c>
      <c r="C263" s="30">
        <v>5</v>
      </c>
      <c r="D263" s="30">
        <v>18</v>
      </c>
      <c r="E263" s="30">
        <v>90</v>
      </c>
      <c r="F263" s="30" t="s">
        <v>621</v>
      </c>
      <c r="G263" s="30" t="s">
        <v>642</v>
      </c>
      <c r="H263" s="30">
        <v>1.6094379999999999</v>
      </c>
      <c r="I263" s="30">
        <v>2.8903720000000002</v>
      </c>
      <c r="J263" s="30">
        <v>1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1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30">
        <v>0</v>
      </c>
      <c r="AG263" s="30">
        <v>0</v>
      </c>
      <c r="AH263" s="30">
        <v>0</v>
      </c>
      <c r="AI263" s="30">
        <v>0</v>
      </c>
      <c r="AJ263" s="30">
        <v>0</v>
      </c>
      <c r="AK263" s="30">
        <v>0</v>
      </c>
      <c r="AL263" s="30">
        <v>0</v>
      </c>
      <c r="AM263" s="30">
        <v>0</v>
      </c>
      <c r="AN263" s="30">
        <v>0</v>
      </c>
      <c r="AO263" s="30">
        <v>0</v>
      </c>
      <c r="AP263" s="30">
        <v>0</v>
      </c>
      <c r="AQ263" s="30">
        <v>0</v>
      </c>
      <c r="AR263" s="30">
        <v>0</v>
      </c>
      <c r="AS263" s="30">
        <v>0</v>
      </c>
      <c r="AT263" s="30">
        <v>0</v>
      </c>
      <c r="AU263" s="30">
        <v>0</v>
      </c>
      <c r="AV263" s="30">
        <v>0</v>
      </c>
      <c r="AW263" s="30">
        <v>0</v>
      </c>
      <c r="AX263" s="30">
        <v>0</v>
      </c>
      <c r="AY263" s="30">
        <v>0</v>
      </c>
    </row>
    <row r="264" spans="1:51">
      <c r="A264" s="30" t="s">
        <v>619</v>
      </c>
      <c r="B264" s="30" t="s">
        <v>786</v>
      </c>
      <c r="C264" s="30">
        <v>1</v>
      </c>
      <c r="D264" s="30">
        <v>567</v>
      </c>
      <c r="E264" s="30">
        <v>565.6</v>
      </c>
      <c r="F264" s="30" t="s">
        <v>626</v>
      </c>
      <c r="G264" s="30" t="s">
        <v>627</v>
      </c>
      <c r="H264" s="30">
        <v>0</v>
      </c>
      <c r="I264" s="30">
        <v>6.3403590000000003</v>
      </c>
      <c r="J264" s="30">
        <v>1</v>
      </c>
      <c r="K264" s="30">
        <v>0</v>
      </c>
      <c r="L264" s="30">
        <v>0</v>
      </c>
      <c r="M264" s="30">
        <v>1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  <c r="AE264" s="30">
        <v>0</v>
      </c>
      <c r="AF264" s="30">
        <v>0</v>
      </c>
      <c r="AG264" s="30">
        <v>0</v>
      </c>
      <c r="AH264" s="30">
        <v>0</v>
      </c>
      <c r="AI264" s="30">
        <v>0</v>
      </c>
      <c r="AJ264" s="30">
        <v>1</v>
      </c>
      <c r="AK264" s="30">
        <v>0</v>
      </c>
      <c r="AL264" s="30">
        <v>0</v>
      </c>
      <c r="AM264" s="30">
        <v>0</v>
      </c>
      <c r="AN264" s="30">
        <v>0</v>
      </c>
      <c r="AO264" s="30">
        <v>0</v>
      </c>
      <c r="AP264" s="30">
        <v>0</v>
      </c>
      <c r="AQ264" s="30">
        <v>0</v>
      </c>
      <c r="AR264" s="30">
        <v>0</v>
      </c>
      <c r="AS264" s="30">
        <v>0</v>
      </c>
      <c r="AT264" s="30">
        <v>0</v>
      </c>
      <c r="AU264" s="30">
        <v>0</v>
      </c>
      <c r="AV264" s="30">
        <v>0</v>
      </c>
      <c r="AW264" s="30">
        <v>0</v>
      </c>
      <c r="AX264" s="30">
        <v>0</v>
      </c>
      <c r="AY264" s="30">
        <v>0</v>
      </c>
    </row>
    <row r="265" spans="1:51">
      <c r="A265" s="30" t="s">
        <v>619</v>
      </c>
      <c r="B265" s="30" t="s">
        <v>787</v>
      </c>
      <c r="C265" s="30">
        <v>1</v>
      </c>
      <c r="D265" s="30">
        <v>88</v>
      </c>
      <c r="E265" s="30">
        <v>87.2</v>
      </c>
      <c r="F265" s="30" t="s">
        <v>626</v>
      </c>
      <c r="G265" s="30" t="s">
        <v>627</v>
      </c>
      <c r="H265" s="30">
        <v>0</v>
      </c>
      <c r="I265" s="30">
        <v>4.4773370000000003</v>
      </c>
      <c r="J265" s="30">
        <v>1</v>
      </c>
      <c r="K265" s="30">
        <v>0</v>
      </c>
      <c r="L265" s="30">
        <v>0</v>
      </c>
      <c r="M265" s="30">
        <v>1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  <c r="AE265" s="30">
        <v>0</v>
      </c>
      <c r="AF265" s="30">
        <v>0</v>
      </c>
      <c r="AG265" s="30">
        <v>0</v>
      </c>
      <c r="AH265" s="30">
        <v>0</v>
      </c>
      <c r="AI265" s="30">
        <v>0</v>
      </c>
      <c r="AJ265" s="30">
        <v>1</v>
      </c>
      <c r="AK265" s="30">
        <v>0</v>
      </c>
      <c r="AL265" s="30">
        <v>0</v>
      </c>
      <c r="AM265" s="30">
        <v>0</v>
      </c>
      <c r="AN265" s="30">
        <v>0</v>
      </c>
      <c r="AO265" s="30">
        <v>0</v>
      </c>
      <c r="AP265" s="30">
        <v>0</v>
      </c>
      <c r="AQ265" s="30">
        <v>0</v>
      </c>
      <c r="AR265" s="30">
        <v>0</v>
      </c>
      <c r="AS265" s="30">
        <v>0</v>
      </c>
      <c r="AT265" s="30">
        <v>0</v>
      </c>
      <c r="AU265" s="30">
        <v>0</v>
      </c>
      <c r="AV265" s="30">
        <v>0</v>
      </c>
      <c r="AW265" s="30">
        <v>0</v>
      </c>
      <c r="AX265" s="30">
        <v>0</v>
      </c>
      <c r="AY265" s="30">
        <v>0</v>
      </c>
    </row>
    <row r="266" spans="1:51">
      <c r="A266" s="30" t="s">
        <v>619</v>
      </c>
      <c r="B266" s="30" t="s">
        <v>788</v>
      </c>
      <c r="C266" s="30">
        <v>3</v>
      </c>
      <c r="D266" s="30">
        <v>8237</v>
      </c>
      <c r="E266" s="30">
        <v>24509.1</v>
      </c>
      <c r="F266" s="30" t="s">
        <v>621</v>
      </c>
      <c r="G266" s="30" t="s">
        <v>638</v>
      </c>
      <c r="H266" s="30">
        <v>1.0986119999999999</v>
      </c>
      <c r="I266" s="30">
        <v>9.0163910000000005</v>
      </c>
      <c r="J266" s="30">
        <v>1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  <c r="AE266" s="30">
        <v>0</v>
      </c>
      <c r="AF266" s="30">
        <v>0</v>
      </c>
      <c r="AG266" s="30">
        <v>0</v>
      </c>
      <c r="AH266" s="30">
        <v>0</v>
      </c>
      <c r="AI266" s="30">
        <v>0</v>
      </c>
      <c r="AJ266" s="30">
        <v>0</v>
      </c>
      <c r="AK266" s="30">
        <v>0</v>
      </c>
      <c r="AL266" s="30">
        <v>0</v>
      </c>
      <c r="AM266" s="30">
        <v>0</v>
      </c>
      <c r="AN266" s="30">
        <v>0</v>
      </c>
      <c r="AO266" s="30">
        <v>0</v>
      </c>
      <c r="AP266" s="30">
        <v>0</v>
      </c>
      <c r="AQ266" s="30">
        <v>0</v>
      </c>
      <c r="AR266" s="30">
        <v>0</v>
      </c>
      <c r="AS266" s="30">
        <v>0</v>
      </c>
      <c r="AT266" s="30">
        <v>0</v>
      </c>
      <c r="AU266" s="30">
        <v>0</v>
      </c>
      <c r="AV266" s="30">
        <v>0</v>
      </c>
      <c r="AW266" s="30">
        <v>0</v>
      </c>
      <c r="AX266" s="30">
        <v>0</v>
      </c>
      <c r="AY266" s="30">
        <v>0</v>
      </c>
    </row>
    <row r="267" spans="1:51">
      <c r="A267" s="30" t="s">
        <v>619</v>
      </c>
      <c r="B267" s="30" t="s">
        <v>789</v>
      </c>
      <c r="C267" s="30">
        <v>3</v>
      </c>
      <c r="D267" s="30">
        <v>131</v>
      </c>
      <c r="E267" s="30">
        <v>393</v>
      </c>
      <c r="F267" s="30" t="s">
        <v>621</v>
      </c>
      <c r="G267" s="30" t="s">
        <v>648</v>
      </c>
      <c r="H267" s="30">
        <v>1.0986119999999999</v>
      </c>
      <c r="I267" s="30">
        <v>4.875197</v>
      </c>
      <c r="J267" s="30">
        <v>1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30">
        <v>0</v>
      </c>
      <c r="AG267" s="30">
        <v>0</v>
      </c>
      <c r="AH267" s="30">
        <v>0</v>
      </c>
      <c r="AI267" s="30">
        <v>0</v>
      </c>
      <c r="AJ267" s="30">
        <v>0</v>
      </c>
      <c r="AK267" s="30">
        <v>0</v>
      </c>
      <c r="AL267" s="30">
        <v>0</v>
      </c>
      <c r="AM267" s="30">
        <v>0</v>
      </c>
      <c r="AN267" s="30">
        <v>0</v>
      </c>
      <c r="AO267" s="30">
        <v>1</v>
      </c>
      <c r="AP267" s="30">
        <v>0</v>
      </c>
      <c r="AQ267" s="30">
        <v>0</v>
      </c>
      <c r="AR267" s="30">
        <v>0</v>
      </c>
      <c r="AS267" s="30">
        <v>0</v>
      </c>
      <c r="AT267" s="30">
        <v>0</v>
      </c>
      <c r="AU267" s="30">
        <v>0</v>
      </c>
      <c r="AV267" s="30">
        <v>0</v>
      </c>
      <c r="AW267" s="30">
        <v>0</v>
      </c>
      <c r="AX267" s="30">
        <v>0</v>
      </c>
      <c r="AY267" s="30">
        <v>0</v>
      </c>
    </row>
    <row r="268" spans="1:51">
      <c r="A268" s="30" t="s">
        <v>619</v>
      </c>
      <c r="B268" s="30" t="s">
        <v>790</v>
      </c>
      <c r="C268" s="30">
        <v>3</v>
      </c>
      <c r="D268" s="30">
        <v>62</v>
      </c>
      <c r="E268" s="30">
        <v>186</v>
      </c>
      <c r="F268" s="30" t="s">
        <v>621</v>
      </c>
      <c r="G268" s="30" t="s">
        <v>648</v>
      </c>
      <c r="H268" s="30">
        <v>1.0986119999999999</v>
      </c>
      <c r="I268" s="30">
        <v>4.1271339999999999</v>
      </c>
      <c r="J268" s="30">
        <v>1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30">
        <v>0</v>
      </c>
      <c r="AG268" s="30">
        <v>0</v>
      </c>
      <c r="AH268" s="30">
        <v>0</v>
      </c>
      <c r="AI268" s="30">
        <v>0</v>
      </c>
      <c r="AJ268" s="30">
        <v>0</v>
      </c>
      <c r="AK268" s="30">
        <v>0</v>
      </c>
      <c r="AL268" s="30">
        <v>0</v>
      </c>
      <c r="AM268" s="30">
        <v>0</v>
      </c>
      <c r="AN268" s="30">
        <v>0</v>
      </c>
      <c r="AO268" s="30">
        <v>1</v>
      </c>
      <c r="AP268" s="30">
        <v>0</v>
      </c>
      <c r="AQ268" s="30">
        <v>0</v>
      </c>
      <c r="AR268" s="30">
        <v>0</v>
      </c>
      <c r="AS268" s="30">
        <v>0</v>
      </c>
      <c r="AT268" s="30">
        <v>0</v>
      </c>
      <c r="AU268" s="30">
        <v>0</v>
      </c>
      <c r="AV268" s="30">
        <v>0</v>
      </c>
      <c r="AW268" s="30">
        <v>0</v>
      </c>
      <c r="AX268" s="30">
        <v>0</v>
      </c>
      <c r="AY268" s="30">
        <v>0</v>
      </c>
    </row>
    <row r="269" spans="1:51">
      <c r="A269" s="30" t="s">
        <v>619</v>
      </c>
      <c r="B269" s="30" t="s">
        <v>791</v>
      </c>
      <c r="C269" s="30">
        <v>3</v>
      </c>
      <c r="D269" s="30">
        <v>26</v>
      </c>
      <c r="E269" s="30">
        <v>78</v>
      </c>
      <c r="F269" s="30" t="s">
        <v>621</v>
      </c>
      <c r="G269" s="30" t="s">
        <v>624</v>
      </c>
      <c r="H269" s="30">
        <v>1.0986119999999999</v>
      </c>
      <c r="I269" s="30">
        <v>3.2580969999999998</v>
      </c>
      <c r="J269" s="30">
        <v>1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30">
        <v>0</v>
      </c>
      <c r="AG269" s="30">
        <v>0</v>
      </c>
      <c r="AH269" s="30">
        <v>0</v>
      </c>
      <c r="AI269" s="30">
        <v>0</v>
      </c>
      <c r="AJ269" s="30">
        <v>0</v>
      </c>
      <c r="AK269" s="30">
        <v>0</v>
      </c>
      <c r="AL269" s="30">
        <v>1</v>
      </c>
      <c r="AM269" s="30">
        <v>0</v>
      </c>
      <c r="AN269" s="30">
        <v>0</v>
      </c>
      <c r="AO269" s="30">
        <v>0</v>
      </c>
      <c r="AP269" s="30">
        <v>0</v>
      </c>
      <c r="AQ269" s="30">
        <v>0</v>
      </c>
      <c r="AR269" s="30">
        <v>0</v>
      </c>
      <c r="AS269" s="30">
        <v>0</v>
      </c>
      <c r="AT269" s="30">
        <v>0</v>
      </c>
      <c r="AU269" s="30">
        <v>0</v>
      </c>
      <c r="AV269" s="30">
        <v>0</v>
      </c>
      <c r="AW269" s="30">
        <v>0</v>
      </c>
      <c r="AX269" s="30">
        <v>0</v>
      </c>
      <c r="AY269" s="30">
        <v>0</v>
      </c>
    </row>
    <row r="270" spans="1:51">
      <c r="A270" s="30" t="s">
        <v>619</v>
      </c>
      <c r="B270" s="30" t="s">
        <v>792</v>
      </c>
      <c r="C270" s="30">
        <v>1</v>
      </c>
      <c r="D270" s="30">
        <v>541</v>
      </c>
      <c r="E270" s="30">
        <v>541</v>
      </c>
      <c r="F270" s="30" t="s">
        <v>621</v>
      </c>
      <c r="G270" s="30" t="s">
        <v>648</v>
      </c>
      <c r="H270" s="30">
        <v>0</v>
      </c>
      <c r="I270" s="30">
        <v>6.2934190000000001</v>
      </c>
      <c r="J270" s="30">
        <v>1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30">
        <v>0</v>
      </c>
      <c r="AG270" s="30">
        <v>0</v>
      </c>
      <c r="AH270" s="30">
        <v>0</v>
      </c>
      <c r="AI270" s="30">
        <v>0</v>
      </c>
      <c r="AJ270" s="30">
        <v>0</v>
      </c>
      <c r="AK270" s="30">
        <v>0</v>
      </c>
      <c r="AL270" s="30">
        <v>0</v>
      </c>
      <c r="AM270" s="30">
        <v>0</v>
      </c>
      <c r="AN270" s="30">
        <v>0</v>
      </c>
      <c r="AO270" s="30">
        <v>1</v>
      </c>
      <c r="AP270" s="30">
        <v>0</v>
      </c>
      <c r="AQ270" s="30">
        <v>0</v>
      </c>
      <c r="AR270" s="30">
        <v>0</v>
      </c>
      <c r="AS270" s="30">
        <v>0</v>
      </c>
      <c r="AT270" s="30">
        <v>0</v>
      </c>
      <c r="AU270" s="30">
        <v>0</v>
      </c>
      <c r="AV270" s="30">
        <v>0</v>
      </c>
      <c r="AW270" s="30">
        <v>0</v>
      </c>
      <c r="AX270" s="30">
        <v>0</v>
      </c>
      <c r="AY270" s="30">
        <v>0</v>
      </c>
    </row>
    <row r="271" spans="1:51">
      <c r="A271" s="30" t="s">
        <v>619</v>
      </c>
      <c r="B271" s="30" t="s">
        <v>793</v>
      </c>
      <c r="C271" s="30">
        <v>5</v>
      </c>
      <c r="D271" s="30">
        <v>28</v>
      </c>
      <c r="E271" s="30">
        <v>140</v>
      </c>
      <c r="F271" s="30" t="s">
        <v>621</v>
      </c>
      <c r="G271" s="30" t="s">
        <v>648</v>
      </c>
      <c r="H271" s="30">
        <v>1.6094379999999999</v>
      </c>
      <c r="I271" s="30">
        <v>3.3322050000000001</v>
      </c>
      <c r="J271" s="30">
        <v>1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30">
        <v>0</v>
      </c>
      <c r="AG271" s="30">
        <v>0</v>
      </c>
      <c r="AH271" s="30">
        <v>0</v>
      </c>
      <c r="AI271" s="30">
        <v>0</v>
      </c>
      <c r="AJ271" s="30">
        <v>0</v>
      </c>
      <c r="AK271" s="30">
        <v>0</v>
      </c>
      <c r="AL271" s="30">
        <v>0</v>
      </c>
      <c r="AM271" s="30">
        <v>0</v>
      </c>
      <c r="AN271" s="30">
        <v>0</v>
      </c>
      <c r="AO271" s="30">
        <v>1</v>
      </c>
      <c r="AP271" s="30">
        <v>0</v>
      </c>
      <c r="AQ271" s="30">
        <v>0</v>
      </c>
      <c r="AR271" s="30">
        <v>0</v>
      </c>
      <c r="AS271" s="30">
        <v>0</v>
      </c>
      <c r="AT271" s="30">
        <v>0</v>
      </c>
      <c r="AU271" s="30">
        <v>0</v>
      </c>
      <c r="AV271" s="30">
        <v>0</v>
      </c>
      <c r="AW271" s="30">
        <v>0</v>
      </c>
      <c r="AX271" s="30">
        <v>0</v>
      </c>
      <c r="AY271" s="30">
        <v>0</v>
      </c>
    </row>
    <row r="272" spans="1:51">
      <c r="A272" s="30" t="s">
        <v>619</v>
      </c>
      <c r="B272" s="30" t="s">
        <v>794</v>
      </c>
      <c r="C272" s="30">
        <v>5</v>
      </c>
      <c r="D272" s="30">
        <v>124</v>
      </c>
      <c r="E272" s="30">
        <v>620</v>
      </c>
      <c r="F272" s="30" t="s">
        <v>621</v>
      </c>
      <c r="G272" s="30" t="s">
        <v>648</v>
      </c>
      <c r="H272" s="30">
        <v>1.6094379999999999</v>
      </c>
      <c r="I272" s="30">
        <v>4.8202819999999997</v>
      </c>
      <c r="J272" s="30">
        <v>1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30">
        <v>0</v>
      </c>
      <c r="AG272" s="30">
        <v>0</v>
      </c>
      <c r="AH272" s="30">
        <v>0</v>
      </c>
      <c r="AI272" s="30">
        <v>0</v>
      </c>
      <c r="AJ272" s="30">
        <v>0</v>
      </c>
      <c r="AK272" s="30">
        <v>0</v>
      </c>
      <c r="AL272" s="30">
        <v>0</v>
      </c>
      <c r="AM272" s="30">
        <v>0</v>
      </c>
      <c r="AN272" s="30">
        <v>0</v>
      </c>
      <c r="AO272" s="30">
        <v>1</v>
      </c>
      <c r="AP272" s="30">
        <v>0</v>
      </c>
      <c r="AQ272" s="30">
        <v>0</v>
      </c>
      <c r="AR272" s="30">
        <v>0</v>
      </c>
      <c r="AS272" s="30">
        <v>0</v>
      </c>
      <c r="AT272" s="30">
        <v>0</v>
      </c>
      <c r="AU272" s="30">
        <v>0</v>
      </c>
      <c r="AV272" s="30">
        <v>0</v>
      </c>
      <c r="AW272" s="30">
        <v>0</v>
      </c>
      <c r="AX272" s="30">
        <v>0</v>
      </c>
      <c r="AY272" s="30">
        <v>0</v>
      </c>
    </row>
    <row r="273" spans="1:51">
      <c r="A273" s="30" t="s">
        <v>619</v>
      </c>
      <c r="B273" s="30" t="s">
        <v>795</v>
      </c>
      <c r="C273" s="30">
        <v>6</v>
      </c>
      <c r="D273" s="30">
        <v>159</v>
      </c>
      <c r="E273" s="30">
        <v>954</v>
      </c>
      <c r="F273" s="30" t="s">
        <v>621</v>
      </c>
      <c r="G273" s="30" t="s">
        <v>648</v>
      </c>
      <c r="H273" s="30">
        <v>1.7917590000000001</v>
      </c>
      <c r="I273" s="30">
        <v>5.0689039999999999</v>
      </c>
      <c r="J273" s="30">
        <v>1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  <c r="AE273" s="30">
        <v>0</v>
      </c>
      <c r="AF273" s="30">
        <v>0</v>
      </c>
      <c r="AG273" s="30">
        <v>0</v>
      </c>
      <c r="AH273" s="30">
        <v>0</v>
      </c>
      <c r="AI273" s="30">
        <v>0</v>
      </c>
      <c r="AJ273" s="30">
        <v>0</v>
      </c>
      <c r="AK273" s="30">
        <v>0</v>
      </c>
      <c r="AL273" s="30">
        <v>0</v>
      </c>
      <c r="AM273" s="30">
        <v>0</v>
      </c>
      <c r="AN273" s="30">
        <v>0</v>
      </c>
      <c r="AO273" s="30">
        <v>1</v>
      </c>
      <c r="AP273" s="30">
        <v>0</v>
      </c>
      <c r="AQ273" s="30">
        <v>0</v>
      </c>
      <c r="AR273" s="30">
        <v>0</v>
      </c>
      <c r="AS273" s="30">
        <v>0</v>
      </c>
      <c r="AT273" s="30">
        <v>0</v>
      </c>
      <c r="AU273" s="30">
        <v>0</v>
      </c>
      <c r="AV273" s="30">
        <v>0</v>
      </c>
      <c r="AW273" s="30">
        <v>0</v>
      </c>
      <c r="AX273" s="30">
        <v>0</v>
      </c>
      <c r="AY273" s="30">
        <v>0</v>
      </c>
    </row>
    <row r="274" spans="1:51">
      <c r="A274" s="30" t="s">
        <v>619</v>
      </c>
      <c r="B274" s="30" t="s">
        <v>796</v>
      </c>
      <c r="C274" s="30">
        <v>6</v>
      </c>
      <c r="D274" s="30">
        <v>732</v>
      </c>
      <c r="E274" s="30">
        <v>4392</v>
      </c>
      <c r="F274" s="30" t="s">
        <v>621</v>
      </c>
      <c r="G274" s="30" t="s">
        <v>648</v>
      </c>
      <c r="H274" s="30">
        <v>1.7917590000000001</v>
      </c>
      <c r="I274" s="30">
        <v>6.5957809999999997</v>
      </c>
      <c r="J274" s="30">
        <v>1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30">
        <v>0</v>
      </c>
      <c r="AG274" s="30">
        <v>0</v>
      </c>
      <c r="AH274" s="30">
        <v>0</v>
      </c>
      <c r="AI274" s="30">
        <v>0</v>
      </c>
      <c r="AJ274" s="30">
        <v>0</v>
      </c>
      <c r="AK274" s="30">
        <v>0</v>
      </c>
      <c r="AL274" s="30">
        <v>0</v>
      </c>
      <c r="AM274" s="30">
        <v>0</v>
      </c>
      <c r="AN274" s="30">
        <v>0</v>
      </c>
      <c r="AO274" s="30">
        <v>1</v>
      </c>
      <c r="AP274" s="30">
        <v>0</v>
      </c>
      <c r="AQ274" s="30">
        <v>0</v>
      </c>
      <c r="AR274" s="30">
        <v>0</v>
      </c>
      <c r="AS274" s="30">
        <v>0</v>
      </c>
      <c r="AT274" s="30">
        <v>0</v>
      </c>
      <c r="AU274" s="30">
        <v>0</v>
      </c>
      <c r="AV274" s="30">
        <v>0</v>
      </c>
      <c r="AW274" s="30">
        <v>0</v>
      </c>
      <c r="AX274" s="30">
        <v>0</v>
      </c>
      <c r="AY274" s="30">
        <v>0</v>
      </c>
    </row>
    <row r="275" spans="1:51">
      <c r="A275" s="30" t="s">
        <v>619</v>
      </c>
      <c r="B275" s="30" t="s">
        <v>797</v>
      </c>
      <c r="C275" s="30">
        <v>4</v>
      </c>
      <c r="D275" s="30">
        <v>11713</v>
      </c>
      <c r="E275" s="30">
        <v>46852</v>
      </c>
      <c r="F275" s="30" t="s">
        <v>621</v>
      </c>
      <c r="G275" s="30" t="s">
        <v>648</v>
      </c>
      <c r="H275" s="30">
        <v>1.3862939999999999</v>
      </c>
      <c r="I275" s="30">
        <v>9.3684550000000009</v>
      </c>
      <c r="J275" s="30">
        <v>1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30">
        <v>0</v>
      </c>
      <c r="AG275" s="30">
        <v>0</v>
      </c>
      <c r="AH275" s="30">
        <v>0</v>
      </c>
      <c r="AI275" s="30">
        <v>0</v>
      </c>
      <c r="AJ275" s="30">
        <v>0</v>
      </c>
      <c r="AK275" s="30">
        <v>0</v>
      </c>
      <c r="AL275" s="30">
        <v>0</v>
      </c>
      <c r="AM275" s="30">
        <v>0</v>
      </c>
      <c r="AN275" s="30">
        <v>0</v>
      </c>
      <c r="AO275" s="30">
        <v>1</v>
      </c>
      <c r="AP275" s="30">
        <v>0</v>
      </c>
      <c r="AQ275" s="30">
        <v>0</v>
      </c>
      <c r="AR275" s="30">
        <v>0</v>
      </c>
      <c r="AS275" s="30">
        <v>0</v>
      </c>
      <c r="AT275" s="30">
        <v>0</v>
      </c>
      <c r="AU275" s="30">
        <v>0</v>
      </c>
      <c r="AV275" s="30">
        <v>0</v>
      </c>
      <c r="AW275" s="30">
        <v>0</v>
      </c>
      <c r="AX275" s="30">
        <v>0</v>
      </c>
      <c r="AY275" s="30">
        <v>0</v>
      </c>
    </row>
    <row r="276" spans="1:51">
      <c r="A276" s="30" t="s">
        <v>619</v>
      </c>
      <c r="B276" s="30" t="s">
        <v>798</v>
      </c>
      <c r="C276" s="30">
        <v>30</v>
      </c>
      <c r="D276" s="30">
        <v>51</v>
      </c>
      <c r="E276" s="30">
        <v>1530</v>
      </c>
      <c r="F276" s="30" t="s">
        <v>621</v>
      </c>
      <c r="G276" s="30" t="s">
        <v>737</v>
      </c>
      <c r="H276" s="30">
        <v>3.4011969999999998</v>
      </c>
      <c r="I276" s="30">
        <v>3.931826</v>
      </c>
      <c r="J276" s="30">
        <v>1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1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30">
        <v>0</v>
      </c>
      <c r="AG276" s="30">
        <v>0</v>
      </c>
      <c r="AH276" s="30">
        <v>0</v>
      </c>
      <c r="AI276" s="30">
        <v>0</v>
      </c>
      <c r="AJ276" s="30">
        <v>0</v>
      </c>
      <c r="AK276" s="30">
        <v>0</v>
      </c>
      <c r="AL276" s="30">
        <v>0</v>
      </c>
      <c r="AM276" s="30">
        <v>0</v>
      </c>
      <c r="AN276" s="30">
        <v>0</v>
      </c>
      <c r="AO276" s="30">
        <v>0</v>
      </c>
      <c r="AP276" s="30">
        <v>0</v>
      </c>
      <c r="AQ276" s="30">
        <v>0</v>
      </c>
      <c r="AR276" s="30">
        <v>0</v>
      </c>
      <c r="AS276" s="30">
        <v>0</v>
      </c>
      <c r="AT276" s="30">
        <v>0</v>
      </c>
      <c r="AU276" s="30">
        <v>0</v>
      </c>
      <c r="AV276" s="30">
        <v>0</v>
      </c>
      <c r="AW276" s="30">
        <v>0</v>
      </c>
      <c r="AX276" s="30">
        <v>0</v>
      </c>
      <c r="AY276" s="30">
        <v>0</v>
      </c>
    </row>
    <row r="277" spans="1:51">
      <c r="A277" s="30" t="s">
        <v>619</v>
      </c>
      <c r="B277" s="30" t="s">
        <v>799</v>
      </c>
      <c r="C277" s="30">
        <v>1</v>
      </c>
      <c r="D277" s="30">
        <v>281</v>
      </c>
      <c r="E277" s="30">
        <v>281</v>
      </c>
      <c r="F277" s="30" t="s">
        <v>626</v>
      </c>
      <c r="G277" s="30" t="s">
        <v>737</v>
      </c>
      <c r="H277" s="30">
        <v>0</v>
      </c>
      <c r="I277" s="30">
        <v>5.6383549999999998</v>
      </c>
      <c r="J277" s="30">
        <v>1</v>
      </c>
      <c r="K277" s="30">
        <v>0</v>
      </c>
      <c r="L277" s="30">
        <v>0</v>
      </c>
      <c r="M277" s="30">
        <v>1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1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30">
        <v>0</v>
      </c>
      <c r="AG277" s="30">
        <v>0</v>
      </c>
      <c r="AH277" s="30">
        <v>0</v>
      </c>
      <c r="AI277" s="30">
        <v>0</v>
      </c>
      <c r="AJ277" s="30">
        <v>0</v>
      </c>
      <c r="AK277" s="30">
        <v>0</v>
      </c>
      <c r="AL277" s="30">
        <v>0</v>
      </c>
      <c r="AM277" s="30">
        <v>0</v>
      </c>
      <c r="AN277" s="30">
        <v>0</v>
      </c>
      <c r="AO277" s="30">
        <v>0</v>
      </c>
      <c r="AP277" s="30">
        <v>0</v>
      </c>
      <c r="AQ277" s="30">
        <v>0</v>
      </c>
      <c r="AR277" s="30">
        <v>0</v>
      </c>
      <c r="AS277" s="30">
        <v>0</v>
      </c>
      <c r="AT277" s="30">
        <v>0</v>
      </c>
      <c r="AU277" s="30">
        <v>0</v>
      </c>
      <c r="AV277" s="30">
        <v>0</v>
      </c>
      <c r="AW277" s="30">
        <v>0</v>
      </c>
      <c r="AX277" s="30">
        <v>0</v>
      </c>
      <c r="AY277" s="30">
        <v>0</v>
      </c>
    </row>
    <row r="278" spans="1:51">
      <c r="A278" s="30" t="s">
        <v>619</v>
      </c>
      <c r="B278" s="30" t="s">
        <v>800</v>
      </c>
      <c r="C278" s="30">
        <v>10</v>
      </c>
      <c r="D278" s="30">
        <v>117</v>
      </c>
      <c r="E278" s="30">
        <v>1170</v>
      </c>
      <c r="F278" s="30" t="s">
        <v>626</v>
      </c>
      <c r="G278" s="30" t="s">
        <v>737</v>
      </c>
      <c r="H278" s="30">
        <v>2.3025850000000001</v>
      </c>
      <c r="I278" s="30">
        <v>4.7621739999999999</v>
      </c>
      <c r="J278" s="30">
        <v>1</v>
      </c>
      <c r="K278" s="30">
        <v>0</v>
      </c>
      <c r="L278" s="30">
        <v>0</v>
      </c>
      <c r="M278" s="30">
        <v>1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1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30">
        <v>0</v>
      </c>
      <c r="AG278" s="30">
        <v>0</v>
      </c>
      <c r="AH278" s="30">
        <v>0</v>
      </c>
      <c r="AI278" s="30">
        <v>0</v>
      </c>
      <c r="AJ278" s="30">
        <v>0</v>
      </c>
      <c r="AK278" s="30">
        <v>0</v>
      </c>
      <c r="AL278" s="30">
        <v>0</v>
      </c>
      <c r="AM278" s="30">
        <v>0</v>
      </c>
      <c r="AN278" s="30">
        <v>0</v>
      </c>
      <c r="AO278" s="30">
        <v>0</v>
      </c>
      <c r="AP278" s="30">
        <v>0</v>
      </c>
      <c r="AQ278" s="30">
        <v>0</v>
      </c>
      <c r="AR278" s="30">
        <v>0</v>
      </c>
      <c r="AS278" s="30">
        <v>0</v>
      </c>
      <c r="AT278" s="30">
        <v>0</v>
      </c>
      <c r="AU278" s="30">
        <v>0</v>
      </c>
      <c r="AV278" s="30">
        <v>0</v>
      </c>
      <c r="AW278" s="30">
        <v>0</v>
      </c>
      <c r="AX278" s="30">
        <v>0</v>
      </c>
      <c r="AY278" s="30">
        <v>0</v>
      </c>
    </row>
    <row r="279" spans="1:51">
      <c r="A279" s="30" t="s">
        <v>619</v>
      </c>
      <c r="B279" s="30" t="s">
        <v>801</v>
      </c>
      <c r="C279" s="30">
        <v>12</v>
      </c>
      <c r="D279" s="30">
        <v>76</v>
      </c>
      <c r="E279" s="30">
        <v>912</v>
      </c>
      <c r="F279" s="30" t="s">
        <v>626</v>
      </c>
      <c r="G279" s="30" t="s">
        <v>737</v>
      </c>
      <c r="H279" s="30">
        <v>2.4849070000000002</v>
      </c>
      <c r="I279" s="30">
        <v>4.3307330000000004</v>
      </c>
      <c r="J279" s="30">
        <v>1</v>
      </c>
      <c r="K279" s="30">
        <v>0</v>
      </c>
      <c r="L279" s="30">
        <v>0</v>
      </c>
      <c r="M279" s="30">
        <v>1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1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30">
        <v>0</v>
      </c>
      <c r="AG279" s="30">
        <v>0</v>
      </c>
      <c r="AH279" s="30">
        <v>0</v>
      </c>
      <c r="AI279" s="30">
        <v>0</v>
      </c>
      <c r="AJ279" s="30">
        <v>0</v>
      </c>
      <c r="AK279" s="30">
        <v>0</v>
      </c>
      <c r="AL279" s="30">
        <v>0</v>
      </c>
      <c r="AM279" s="30">
        <v>0</v>
      </c>
      <c r="AN279" s="30">
        <v>0</v>
      </c>
      <c r="AO279" s="30">
        <v>0</v>
      </c>
      <c r="AP279" s="30">
        <v>0</v>
      </c>
      <c r="AQ279" s="30">
        <v>0</v>
      </c>
      <c r="AR279" s="30">
        <v>0</v>
      </c>
      <c r="AS279" s="30">
        <v>0</v>
      </c>
      <c r="AT279" s="30">
        <v>0</v>
      </c>
      <c r="AU279" s="30">
        <v>0</v>
      </c>
      <c r="AV279" s="30">
        <v>0</v>
      </c>
      <c r="AW279" s="30">
        <v>0</v>
      </c>
      <c r="AX279" s="30">
        <v>0</v>
      </c>
      <c r="AY279" s="30">
        <v>0</v>
      </c>
    </row>
    <row r="280" spans="1:51">
      <c r="A280" s="30" t="s">
        <v>619</v>
      </c>
      <c r="B280" s="30" t="s">
        <v>802</v>
      </c>
      <c r="C280" s="30">
        <v>15</v>
      </c>
      <c r="D280" s="30">
        <v>67</v>
      </c>
      <c r="E280" s="30">
        <v>1005</v>
      </c>
      <c r="F280" s="30" t="s">
        <v>626</v>
      </c>
      <c r="G280" s="30" t="s">
        <v>737</v>
      </c>
      <c r="H280" s="30">
        <v>2.7080500000000001</v>
      </c>
      <c r="I280" s="30">
        <v>4.2046929999999998</v>
      </c>
      <c r="J280" s="30">
        <v>1</v>
      </c>
      <c r="K280" s="30">
        <v>0</v>
      </c>
      <c r="L280" s="30">
        <v>0</v>
      </c>
      <c r="M280" s="30">
        <v>1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1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30">
        <v>0</v>
      </c>
      <c r="AG280" s="30">
        <v>0</v>
      </c>
      <c r="AH280" s="30">
        <v>0</v>
      </c>
      <c r="AI280" s="30">
        <v>0</v>
      </c>
      <c r="AJ280" s="30">
        <v>0</v>
      </c>
      <c r="AK280" s="30">
        <v>0</v>
      </c>
      <c r="AL280" s="30">
        <v>0</v>
      </c>
      <c r="AM280" s="30">
        <v>0</v>
      </c>
      <c r="AN280" s="30">
        <v>0</v>
      </c>
      <c r="AO280" s="30">
        <v>0</v>
      </c>
      <c r="AP280" s="30">
        <v>0</v>
      </c>
      <c r="AQ280" s="30">
        <v>0</v>
      </c>
      <c r="AR280" s="30">
        <v>0</v>
      </c>
      <c r="AS280" s="30">
        <v>0</v>
      </c>
      <c r="AT280" s="30">
        <v>0</v>
      </c>
      <c r="AU280" s="30">
        <v>0</v>
      </c>
      <c r="AV280" s="30">
        <v>0</v>
      </c>
      <c r="AW280" s="30">
        <v>0</v>
      </c>
      <c r="AX280" s="30">
        <v>0</v>
      </c>
      <c r="AY280" s="30">
        <v>0</v>
      </c>
    </row>
    <row r="281" spans="1:51">
      <c r="A281" s="30" t="s">
        <v>619</v>
      </c>
      <c r="B281" s="30" t="s">
        <v>803</v>
      </c>
      <c r="C281" s="30">
        <v>20</v>
      </c>
      <c r="D281" s="30">
        <v>244</v>
      </c>
      <c r="E281" s="30">
        <v>4880</v>
      </c>
      <c r="F281" s="30" t="s">
        <v>626</v>
      </c>
      <c r="G281" s="30" t="s">
        <v>737</v>
      </c>
      <c r="H281" s="30">
        <v>2.9957319999999998</v>
      </c>
      <c r="I281" s="30">
        <v>5.4971680000000003</v>
      </c>
      <c r="J281" s="30">
        <v>1</v>
      </c>
      <c r="K281" s="30">
        <v>0</v>
      </c>
      <c r="L281" s="30">
        <v>0</v>
      </c>
      <c r="M281" s="30">
        <v>1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1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30">
        <v>0</v>
      </c>
      <c r="AG281" s="30">
        <v>0</v>
      </c>
      <c r="AH281" s="30">
        <v>0</v>
      </c>
      <c r="AI281" s="30">
        <v>0</v>
      </c>
      <c r="AJ281" s="30">
        <v>0</v>
      </c>
      <c r="AK281" s="30">
        <v>0</v>
      </c>
      <c r="AL281" s="30">
        <v>0</v>
      </c>
      <c r="AM281" s="30">
        <v>0</v>
      </c>
      <c r="AN281" s="30">
        <v>0</v>
      </c>
      <c r="AO281" s="30">
        <v>0</v>
      </c>
      <c r="AP281" s="30">
        <v>0</v>
      </c>
      <c r="AQ281" s="30">
        <v>0</v>
      </c>
      <c r="AR281" s="30">
        <v>0</v>
      </c>
      <c r="AS281" s="30">
        <v>0</v>
      </c>
      <c r="AT281" s="30">
        <v>0</v>
      </c>
      <c r="AU281" s="30">
        <v>0</v>
      </c>
      <c r="AV281" s="30">
        <v>0</v>
      </c>
      <c r="AW281" s="30">
        <v>0</v>
      </c>
      <c r="AX281" s="30">
        <v>0</v>
      </c>
      <c r="AY281" s="30">
        <v>0</v>
      </c>
    </row>
    <row r="282" spans="1:51">
      <c r="A282" s="30" t="s">
        <v>619</v>
      </c>
      <c r="B282" s="30" t="s">
        <v>804</v>
      </c>
      <c r="C282" s="30">
        <v>4</v>
      </c>
      <c r="D282" s="30">
        <v>100</v>
      </c>
      <c r="E282" s="30">
        <v>400</v>
      </c>
      <c r="F282" s="30" t="s">
        <v>626</v>
      </c>
      <c r="G282" s="30" t="s">
        <v>737</v>
      </c>
      <c r="H282" s="30">
        <v>1.3862939999999999</v>
      </c>
      <c r="I282" s="30">
        <v>4.6051700000000002</v>
      </c>
      <c r="J282" s="30">
        <v>1</v>
      </c>
      <c r="K282" s="30">
        <v>0</v>
      </c>
      <c r="L282" s="30">
        <v>0</v>
      </c>
      <c r="M282" s="30">
        <v>1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1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30">
        <v>0</v>
      </c>
      <c r="AG282" s="30">
        <v>0</v>
      </c>
      <c r="AH282" s="30">
        <v>0</v>
      </c>
      <c r="AI282" s="30">
        <v>0</v>
      </c>
      <c r="AJ282" s="30">
        <v>0</v>
      </c>
      <c r="AK282" s="30">
        <v>0</v>
      </c>
      <c r="AL282" s="30">
        <v>0</v>
      </c>
      <c r="AM282" s="30">
        <v>0</v>
      </c>
      <c r="AN282" s="30">
        <v>0</v>
      </c>
      <c r="AO282" s="30">
        <v>0</v>
      </c>
      <c r="AP282" s="30">
        <v>0</v>
      </c>
      <c r="AQ282" s="30">
        <v>0</v>
      </c>
      <c r="AR282" s="30">
        <v>0</v>
      </c>
      <c r="AS282" s="30">
        <v>0</v>
      </c>
      <c r="AT282" s="30">
        <v>0</v>
      </c>
      <c r="AU282" s="30">
        <v>0</v>
      </c>
      <c r="AV282" s="30">
        <v>0</v>
      </c>
      <c r="AW282" s="30">
        <v>0</v>
      </c>
      <c r="AX282" s="30">
        <v>0</v>
      </c>
      <c r="AY282" s="30">
        <v>0</v>
      </c>
    </row>
    <row r="283" spans="1:51">
      <c r="A283" s="30" t="s">
        <v>619</v>
      </c>
      <c r="B283" s="30" t="s">
        <v>805</v>
      </c>
      <c r="C283" s="30">
        <v>6</v>
      </c>
      <c r="D283" s="30">
        <v>193</v>
      </c>
      <c r="E283" s="30">
        <v>1158</v>
      </c>
      <c r="F283" s="30" t="s">
        <v>626</v>
      </c>
      <c r="G283" s="30" t="s">
        <v>737</v>
      </c>
      <c r="H283" s="30">
        <v>1.7917590000000001</v>
      </c>
      <c r="I283" s="30">
        <v>5.2626900000000001</v>
      </c>
      <c r="J283" s="30">
        <v>1</v>
      </c>
      <c r="K283" s="30">
        <v>0</v>
      </c>
      <c r="L283" s="30">
        <v>0</v>
      </c>
      <c r="M283" s="30">
        <v>1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1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30">
        <v>0</v>
      </c>
      <c r="AG283" s="30">
        <v>0</v>
      </c>
      <c r="AH283" s="30">
        <v>0</v>
      </c>
      <c r="AI283" s="30">
        <v>0</v>
      </c>
      <c r="AJ283" s="30">
        <v>0</v>
      </c>
      <c r="AK283" s="30">
        <v>0</v>
      </c>
      <c r="AL283" s="30">
        <v>0</v>
      </c>
      <c r="AM283" s="30">
        <v>0</v>
      </c>
      <c r="AN283" s="30">
        <v>0</v>
      </c>
      <c r="AO283" s="30">
        <v>0</v>
      </c>
      <c r="AP283" s="30">
        <v>0</v>
      </c>
      <c r="AQ283" s="30">
        <v>0</v>
      </c>
      <c r="AR283" s="30">
        <v>0</v>
      </c>
      <c r="AS283" s="30">
        <v>0</v>
      </c>
      <c r="AT283" s="30">
        <v>0</v>
      </c>
      <c r="AU283" s="30">
        <v>0</v>
      </c>
      <c r="AV283" s="30">
        <v>0</v>
      </c>
      <c r="AW283" s="30">
        <v>0</v>
      </c>
      <c r="AX283" s="30">
        <v>0</v>
      </c>
      <c r="AY283" s="30">
        <v>0</v>
      </c>
    </row>
    <row r="284" spans="1:51">
      <c r="A284" s="30" t="s">
        <v>619</v>
      </c>
      <c r="B284" s="30" t="s">
        <v>806</v>
      </c>
      <c r="C284" s="30">
        <v>8</v>
      </c>
      <c r="D284" s="30">
        <v>143</v>
      </c>
      <c r="E284" s="30">
        <v>1144</v>
      </c>
      <c r="F284" s="30" t="s">
        <v>626</v>
      </c>
      <c r="G284" s="30" t="s">
        <v>737</v>
      </c>
      <c r="H284" s="30">
        <v>2.0794419999999998</v>
      </c>
      <c r="I284" s="30">
        <v>4.9628449999999997</v>
      </c>
      <c r="J284" s="30">
        <v>1</v>
      </c>
      <c r="K284" s="30">
        <v>0</v>
      </c>
      <c r="L284" s="30">
        <v>0</v>
      </c>
      <c r="M284" s="30">
        <v>1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1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30">
        <v>0</v>
      </c>
      <c r="AG284" s="30">
        <v>0</v>
      </c>
      <c r="AH284" s="30">
        <v>0</v>
      </c>
      <c r="AI284" s="30">
        <v>0</v>
      </c>
      <c r="AJ284" s="30">
        <v>0</v>
      </c>
      <c r="AK284" s="30">
        <v>0</v>
      </c>
      <c r="AL284" s="30">
        <v>0</v>
      </c>
      <c r="AM284" s="30">
        <v>0</v>
      </c>
      <c r="AN284" s="30">
        <v>0</v>
      </c>
      <c r="AO284" s="30">
        <v>0</v>
      </c>
      <c r="AP284" s="30">
        <v>0</v>
      </c>
      <c r="AQ284" s="30">
        <v>0</v>
      </c>
      <c r="AR284" s="30">
        <v>0</v>
      </c>
      <c r="AS284" s="30">
        <v>0</v>
      </c>
      <c r="AT284" s="30">
        <v>0</v>
      </c>
      <c r="AU284" s="30">
        <v>0</v>
      </c>
      <c r="AV284" s="30">
        <v>0</v>
      </c>
      <c r="AW284" s="30">
        <v>0</v>
      </c>
      <c r="AX284" s="30">
        <v>0</v>
      </c>
      <c r="AY284" s="30">
        <v>0</v>
      </c>
    </row>
    <row r="285" spans="1:51">
      <c r="A285" s="30" t="s">
        <v>619</v>
      </c>
      <c r="B285" s="30" t="s">
        <v>807</v>
      </c>
      <c r="C285" s="30">
        <v>14</v>
      </c>
      <c r="D285" s="30">
        <v>584</v>
      </c>
      <c r="E285" s="30">
        <v>8176</v>
      </c>
      <c r="F285" s="30" t="s">
        <v>621</v>
      </c>
      <c r="G285" s="30" t="s">
        <v>737</v>
      </c>
      <c r="H285" s="30">
        <v>2.6390570000000002</v>
      </c>
      <c r="I285" s="30">
        <v>6.3699009999999996</v>
      </c>
      <c r="J285" s="30">
        <v>1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1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30">
        <v>0</v>
      </c>
      <c r="AG285" s="30">
        <v>0</v>
      </c>
      <c r="AH285" s="30">
        <v>0</v>
      </c>
      <c r="AI285" s="30">
        <v>0</v>
      </c>
      <c r="AJ285" s="30">
        <v>0</v>
      </c>
      <c r="AK285" s="30">
        <v>0</v>
      </c>
      <c r="AL285" s="30">
        <v>0</v>
      </c>
      <c r="AM285" s="30">
        <v>0</v>
      </c>
      <c r="AN285" s="30">
        <v>0</v>
      </c>
      <c r="AO285" s="30">
        <v>0</v>
      </c>
      <c r="AP285" s="30">
        <v>0</v>
      </c>
      <c r="AQ285" s="30">
        <v>0</v>
      </c>
      <c r="AR285" s="30">
        <v>0</v>
      </c>
      <c r="AS285" s="30">
        <v>0</v>
      </c>
      <c r="AT285" s="30">
        <v>0</v>
      </c>
      <c r="AU285" s="30">
        <v>0</v>
      </c>
      <c r="AV285" s="30">
        <v>0</v>
      </c>
      <c r="AW285" s="30">
        <v>0</v>
      </c>
      <c r="AX285" s="30">
        <v>0</v>
      </c>
      <c r="AY285" s="30">
        <v>0</v>
      </c>
    </row>
    <row r="286" spans="1:51">
      <c r="A286" s="30" t="s">
        <v>619</v>
      </c>
      <c r="B286" s="30" t="s">
        <v>808</v>
      </c>
      <c r="C286" s="30">
        <v>6</v>
      </c>
      <c r="D286" s="30">
        <v>5274</v>
      </c>
      <c r="E286" s="30">
        <v>31644</v>
      </c>
      <c r="F286" s="30" t="s">
        <v>621</v>
      </c>
      <c r="G286" s="30" t="s">
        <v>737</v>
      </c>
      <c r="H286" s="30">
        <v>1.7917590000000001</v>
      </c>
      <c r="I286" s="30">
        <v>8.5705439999999999</v>
      </c>
      <c r="J286" s="30">
        <v>1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1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30">
        <v>0</v>
      </c>
      <c r="AG286" s="30">
        <v>0</v>
      </c>
      <c r="AH286" s="30">
        <v>0</v>
      </c>
      <c r="AI286" s="30">
        <v>0</v>
      </c>
      <c r="AJ286" s="30">
        <v>0</v>
      </c>
      <c r="AK286" s="30">
        <v>0</v>
      </c>
      <c r="AL286" s="30">
        <v>0</v>
      </c>
      <c r="AM286" s="30">
        <v>0</v>
      </c>
      <c r="AN286" s="30">
        <v>0</v>
      </c>
      <c r="AO286" s="30">
        <v>0</v>
      </c>
      <c r="AP286" s="30">
        <v>0</v>
      </c>
      <c r="AQ286" s="30">
        <v>0</v>
      </c>
      <c r="AR286" s="30">
        <v>0</v>
      </c>
      <c r="AS286" s="30">
        <v>0</v>
      </c>
      <c r="AT286" s="30">
        <v>0</v>
      </c>
      <c r="AU286" s="30">
        <v>0</v>
      </c>
      <c r="AV286" s="30">
        <v>0</v>
      </c>
      <c r="AW286" s="30">
        <v>0</v>
      </c>
      <c r="AX286" s="30">
        <v>0</v>
      </c>
      <c r="AY286" s="30">
        <v>0</v>
      </c>
    </row>
    <row r="287" spans="1:51">
      <c r="A287" s="30" t="s">
        <v>619</v>
      </c>
      <c r="B287" s="30" t="s">
        <v>809</v>
      </c>
      <c r="C287" s="30">
        <v>3</v>
      </c>
      <c r="D287" s="30">
        <v>1002</v>
      </c>
      <c r="E287" s="30">
        <v>3004.5</v>
      </c>
      <c r="F287" s="30" t="s">
        <v>621</v>
      </c>
      <c r="G287" s="30" t="s">
        <v>624</v>
      </c>
      <c r="H287" s="30">
        <v>1.0986119999999999</v>
      </c>
      <c r="I287" s="30">
        <v>6.9097530000000003</v>
      </c>
      <c r="J287" s="30">
        <v>1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30">
        <v>0</v>
      </c>
      <c r="AG287" s="30">
        <v>0</v>
      </c>
      <c r="AH287" s="30">
        <v>0</v>
      </c>
      <c r="AI287" s="30">
        <v>0</v>
      </c>
      <c r="AJ287" s="30">
        <v>0</v>
      </c>
      <c r="AK287" s="30">
        <v>0</v>
      </c>
      <c r="AL287" s="30">
        <v>1</v>
      </c>
      <c r="AM287" s="30">
        <v>0</v>
      </c>
      <c r="AN287" s="30">
        <v>0</v>
      </c>
      <c r="AO287" s="30">
        <v>0</v>
      </c>
      <c r="AP287" s="30">
        <v>0</v>
      </c>
      <c r="AQ287" s="30">
        <v>0</v>
      </c>
      <c r="AR287" s="30">
        <v>0</v>
      </c>
      <c r="AS287" s="30">
        <v>0</v>
      </c>
      <c r="AT287" s="30">
        <v>0</v>
      </c>
      <c r="AU287" s="30">
        <v>0</v>
      </c>
      <c r="AV287" s="30">
        <v>0</v>
      </c>
      <c r="AW287" s="30">
        <v>0</v>
      </c>
      <c r="AX287" s="30">
        <v>0</v>
      </c>
      <c r="AY287" s="30">
        <v>0</v>
      </c>
    </row>
    <row r="288" spans="1:51">
      <c r="A288" s="30" t="s">
        <v>619</v>
      </c>
      <c r="B288" s="30" t="s">
        <v>810</v>
      </c>
      <c r="C288" s="30">
        <v>3</v>
      </c>
      <c r="D288" s="30">
        <v>730</v>
      </c>
      <c r="E288" s="30">
        <v>2187.9</v>
      </c>
      <c r="F288" s="30" t="s">
        <v>621</v>
      </c>
      <c r="G288" s="30" t="s">
        <v>624</v>
      </c>
      <c r="H288" s="30">
        <v>1.0986119999999999</v>
      </c>
      <c r="I288" s="30">
        <v>6.593045</v>
      </c>
      <c r="J288" s="30">
        <v>1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30">
        <v>0</v>
      </c>
      <c r="AG288" s="30">
        <v>0</v>
      </c>
      <c r="AH288" s="30">
        <v>0</v>
      </c>
      <c r="AI288" s="30">
        <v>0</v>
      </c>
      <c r="AJ288" s="30">
        <v>0</v>
      </c>
      <c r="AK288" s="30">
        <v>0</v>
      </c>
      <c r="AL288" s="30">
        <v>1</v>
      </c>
      <c r="AM288" s="30">
        <v>0</v>
      </c>
      <c r="AN288" s="30">
        <v>0</v>
      </c>
      <c r="AO288" s="30">
        <v>0</v>
      </c>
      <c r="AP288" s="30">
        <v>0</v>
      </c>
      <c r="AQ288" s="30">
        <v>0</v>
      </c>
      <c r="AR288" s="30">
        <v>0</v>
      </c>
      <c r="AS288" s="30">
        <v>0</v>
      </c>
      <c r="AT288" s="30">
        <v>0</v>
      </c>
      <c r="AU288" s="30">
        <v>0</v>
      </c>
      <c r="AV288" s="30">
        <v>0</v>
      </c>
      <c r="AW288" s="30">
        <v>0</v>
      </c>
      <c r="AX288" s="30">
        <v>0</v>
      </c>
      <c r="AY288" s="30">
        <v>0</v>
      </c>
    </row>
    <row r="289" spans="1:51">
      <c r="A289" s="30" t="s">
        <v>619</v>
      </c>
      <c r="B289" s="30" t="s">
        <v>811</v>
      </c>
      <c r="C289" s="30">
        <v>10</v>
      </c>
      <c r="D289" s="30">
        <v>39</v>
      </c>
      <c r="E289" s="30">
        <v>390</v>
      </c>
      <c r="F289" s="30" t="s">
        <v>626</v>
      </c>
      <c r="G289" s="30" t="s">
        <v>812</v>
      </c>
      <c r="H289" s="30">
        <v>2.3025850000000001</v>
      </c>
      <c r="I289" s="30">
        <v>3.6635620000000002</v>
      </c>
      <c r="J289" s="30">
        <v>1</v>
      </c>
      <c r="K289" s="30">
        <v>0</v>
      </c>
      <c r="L289" s="30">
        <v>0</v>
      </c>
      <c r="M289" s="30">
        <v>1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  <c r="AE289" s="30">
        <v>0</v>
      </c>
      <c r="AF289" s="30">
        <v>0</v>
      </c>
      <c r="AG289" s="30">
        <v>0</v>
      </c>
      <c r="AH289" s="30">
        <v>0</v>
      </c>
      <c r="AI289" s="30">
        <v>0</v>
      </c>
      <c r="AJ289" s="30">
        <v>0</v>
      </c>
      <c r="AK289" s="30">
        <v>0</v>
      </c>
      <c r="AL289" s="30">
        <v>0</v>
      </c>
      <c r="AM289" s="30">
        <v>0</v>
      </c>
      <c r="AN289" s="30">
        <v>0</v>
      </c>
      <c r="AO289" s="30">
        <v>0</v>
      </c>
      <c r="AP289" s="30">
        <v>1</v>
      </c>
      <c r="AQ289" s="30">
        <v>0</v>
      </c>
      <c r="AR289" s="30">
        <v>0</v>
      </c>
      <c r="AS289" s="30">
        <v>0</v>
      </c>
      <c r="AT289" s="30">
        <v>0</v>
      </c>
      <c r="AU289" s="30">
        <v>0</v>
      </c>
      <c r="AV289" s="30">
        <v>0</v>
      </c>
      <c r="AW289" s="30">
        <v>0</v>
      </c>
      <c r="AX289" s="30">
        <v>0</v>
      </c>
      <c r="AY289" s="30">
        <v>0</v>
      </c>
    </row>
    <row r="290" spans="1:51">
      <c r="A290" s="30" t="s">
        <v>619</v>
      </c>
      <c r="B290" s="30" t="s">
        <v>813</v>
      </c>
      <c r="C290" s="30">
        <v>5</v>
      </c>
      <c r="D290" s="30">
        <v>141</v>
      </c>
      <c r="E290" s="30">
        <v>705</v>
      </c>
      <c r="F290" s="30" t="s">
        <v>626</v>
      </c>
      <c r="G290" s="30" t="s">
        <v>812</v>
      </c>
      <c r="H290" s="30">
        <v>1.6094379999999999</v>
      </c>
      <c r="I290" s="30">
        <v>4.94876</v>
      </c>
      <c r="J290" s="30">
        <v>1</v>
      </c>
      <c r="K290" s="30">
        <v>0</v>
      </c>
      <c r="L290" s="30">
        <v>0</v>
      </c>
      <c r="M290" s="30">
        <v>1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30">
        <v>0</v>
      </c>
      <c r="AG290" s="30">
        <v>0</v>
      </c>
      <c r="AH290" s="30">
        <v>0</v>
      </c>
      <c r="AI290" s="30">
        <v>0</v>
      </c>
      <c r="AJ290" s="30">
        <v>0</v>
      </c>
      <c r="AK290" s="30">
        <v>0</v>
      </c>
      <c r="AL290" s="30">
        <v>0</v>
      </c>
      <c r="AM290" s="30">
        <v>0</v>
      </c>
      <c r="AN290" s="30">
        <v>0</v>
      </c>
      <c r="AO290" s="30">
        <v>0</v>
      </c>
      <c r="AP290" s="30">
        <v>1</v>
      </c>
      <c r="AQ290" s="30">
        <v>0</v>
      </c>
      <c r="AR290" s="30">
        <v>0</v>
      </c>
      <c r="AS290" s="30">
        <v>0</v>
      </c>
      <c r="AT290" s="30">
        <v>0</v>
      </c>
      <c r="AU290" s="30">
        <v>0</v>
      </c>
      <c r="AV290" s="30">
        <v>0</v>
      </c>
      <c r="AW290" s="30">
        <v>0</v>
      </c>
      <c r="AX290" s="30">
        <v>0</v>
      </c>
      <c r="AY290" s="30">
        <v>0</v>
      </c>
    </row>
    <row r="291" spans="1:51">
      <c r="A291" s="30" t="s">
        <v>619</v>
      </c>
      <c r="B291" s="30" t="s">
        <v>814</v>
      </c>
      <c r="C291" s="30">
        <v>5</v>
      </c>
      <c r="D291" s="30">
        <v>73</v>
      </c>
      <c r="E291" s="30">
        <v>365</v>
      </c>
      <c r="F291" s="30" t="s">
        <v>621</v>
      </c>
      <c r="G291" s="30" t="s">
        <v>648</v>
      </c>
      <c r="H291" s="30">
        <v>1.6094379999999999</v>
      </c>
      <c r="I291" s="30">
        <v>4.2904590000000002</v>
      </c>
      <c r="J291" s="30">
        <v>1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30">
        <v>0</v>
      </c>
      <c r="AG291" s="30">
        <v>0</v>
      </c>
      <c r="AH291" s="30">
        <v>0</v>
      </c>
      <c r="AI291" s="30">
        <v>0</v>
      </c>
      <c r="AJ291" s="30">
        <v>0</v>
      </c>
      <c r="AK291" s="30">
        <v>0</v>
      </c>
      <c r="AL291" s="30">
        <v>0</v>
      </c>
      <c r="AM291" s="30">
        <v>0</v>
      </c>
      <c r="AN291" s="30">
        <v>0</v>
      </c>
      <c r="AO291" s="30">
        <v>1</v>
      </c>
      <c r="AP291" s="30">
        <v>0</v>
      </c>
      <c r="AQ291" s="30">
        <v>0</v>
      </c>
      <c r="AR291" s="30">
        <v>0</v>
      </c>
      <c r="AS291" s="30">
        <v>0</v>
      </c>
      <c r="AT291" s="30">
        <v>0</v>
      </c>
      <c r="AU291" s="30">
        <v>0</v>
      </c>
      <c r="AV291" s="30">
        <v>0</v>
      </c>
      <c r="AW291" s="30">
        <v>0</v>
      </c>
      <c r="AX291" s="30">
        <v>0</v>
      </c>
      <c r="AY291" s="30">
        <v>0</v>
      </c>
    </row>
    <row r="292" spans="1:51">
      <c r="A292" s="30" t="s">
        <v>619</v>
      </c>
      <c r="B292" s="30" t="s">
        <v>815</v>
      </c>
      <c r="C292" s="30">
        <v>3</v>
      </c>
      <c r="D292" s="30">
        <v>2878</v>
      </c>
      <c r="E292" s="30">
        <v>8633.5499999999993</v>
      </c>
      <c r="F292" s="30" t="s">
        <v>621</v>
      </c>
      <c r="G292" s="30" t="s">
        <v>638</v>
      </c>
      <c r="H292" s="30">
        <v>1.0986119999999999</v>
      </c>
      <c r="I292" s="30">
        <v>7.9648510000000003</v>
      </c>
      <c r="J292" s="30">
        <v>1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30">
        <v>0</v>
      </c>
      <c r="AG292" s="30">
        <v>0</v>
      </c>
      <c r="AH292" s="30">
        <v>0</v>
      </c>
      <c r="AI292" s="30">
        <v>0</v>
      </c>
      <c r="AJ292" s="30">
        <v>0</v>
      </c>
      <c r="AK292" s="30">
        <v>0</v>
      </c>
      <c r="AL292" s="30">
        <v>0</v>
      </c>
      <c r="AM292" s="30">
        <v>0</v>
      </c>
      <c r="AN292" s="30">
        <v>0</v>
      </c>
      <c r="AO292" s="30">
        <v>0</v>
      </c>
      <c r="AP292" s="30">
        <v>0</v>
      </c>
      <c r="AQ292" s="30">
        <v>0</v>
      </c>
      <c r="AR292" s="30">
        <v>0</v>
      </c>
      <c r="AS292" s="30">
        <v>0</v>
      </c>
      <c r="AT292" s="30">
        <v>0</v>
      </c>
      <c r="AU292" s="30">
        <v>0</v>
      </c>
      <c r="AV292" s="30">
        <v>0</v>
      </c>
      <c r="AW292" s="30">
        <v>0</v>
      </c>
      <c r="AX292" s="30">
        <v>0</v>
      </c>
      <c r="AY292" s="30">
        <v>0</v>
      </c>
    </row>
    <row r="293" spans="1:51">
      <c r="A293" s="30" t="s">
        <v>619</v>
      </c>
      <c r="B293" s="30" t="s">
        <v>816</v>
      </c>
      <c r="C293" s="30">
        <v>2</v>
      </c>
      <c r="D293" s="30">
        <v>3385</v>
      </c>
      <c r="E293" s="30">
        <v>6769.7</v>
      </c>
      <c r="F293" s="30" t="s">
        <v>621</v>
      </c>
      <c r="G293" s="30" t="s">
        <v>638</v>
      </c>
      <c r="H293" s="30">
        <v>0.69314699999999996</v>
      </c>
      <c r="I293" s="30">
        <v>8.1271090000000008</v>
      </c>
      <c r="J293" s="30">
        <v>1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30">
        <v>0</v>
      </c>
      <c r="AG293" s="30">
        <v>0</v>
      </c>
      <c r="AH293" s="30">
        <v>0</v>
      </c>
      <c r="AI293" s="30">
        <v>0</v>
      </c>
      <c r="AJ293" s="30">
        <v>0</v>
      </c>
      <c r="AK293" s="30">
        <v>0</v>
      </c>
      <c r="AL293" s="30">
        <v>0</v>
      </c>
      <c r="AM293" s="30">
        <v>0</v>
      </c>
      <c r="AN293" s="30">
        <v>0</v>
      </c>
      <c r="AO293" s="30">
        <v>0</v>
      </c>
      <c r="AP293" s="30">
        <v>0</v>
      </c>
      <c r="AQ293" s="30">
        <v>0</v>
      </c>
      <c r="AR293" s="30">
        <v>0</v>
      </c>
      <c r="AS293" s="30">
        <v>0</v>
      </c>
      <c r="AT293" s="30">
        <v>0</v>
      </c>
      <c r="AU293" s="30">
        <v>0</v>
      </c>
      <c r="AV293" s="30">
        <v>0</v>
      </c>
      <c r="AW293" s="30">
        <v>0</v>
      </c>
      <c r="AX293" s="30">
        <v>0</v>
      </c>
      <c r="AY293" s="30">
        <v>0</v>
      </c>
    </row>
    <row r="294" spans="1:51">
      <c r="A294" s="30" t="s">
        <v>619</v>
      </c>
      <c r="B294" s="30" t="s">
        <v>817</v>
      </c>
      <c r="C294" s="30">
        <v>3</v>
      </c>
      <c r="D294" s="30">
        <v>29</v>
      </c>
      <c r="E294" s="30">
        <v>87</v>
      </c>
      <c r="F294" s="30" t="s">
        <v>621</v>
      </c>
      <c r="G294" s="30" t="s">
        <v>638</v>
      </c>
      <c r="H294" s="30">
        <v>1.0986119999999999</v>
      </c>
      <c r="I294" s="30">
        <v>3.3672960000000001</v>
      </c>
      <c r="J294" s="30">
        <v>1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  <c r="AE294" s="30">
        <v>0</v>
      </c>
      <c r="AF294" s="30">
        <v>0</v>
      </c>
      <c r="AG294" s="30">
        <v>0</v>
      </c>
      <c r="AH294" s="30">
        <v>0</v>
      </c>
      <c r="AI294" s="30">
        <v>0</v>
      </c>
      <c r="AJ294" s="30">
        <v>0</v>
      </c>
      <c r="AK294" s="30">
        <v>0</v>
      </c>
      <c r="AL294" s="30">
        <v>0</v>
      </c>
      <c r="AM294" s="30">
        <v>0</v>
      </c>
      <c r="AN294" s="30">
        <v>0</v>
      </c>
      <c r="AO294" s="30">
        <v>0</v>
      </c>
      <c r="AP294" s="30">
        <v>0</v>
      </c>
      <c r="AQ294" s="30">
        <v>0</v>
      </c>
      <c r="AR294" s="30">
        <v>0</v>
      </c>
      <c r="AS294" s="30">
        <v>0</v>
      </c>
      <c r="AT294" s="30">
        <v>0</v>
      </c>
      <c r="AU294" s="30">
        <v>0</v>
      </c>
      <c r="AV294" s="30">
        <v>0</v>
      </c>
      <c r="AW294" s="30">
        <v>0</v>
      </c>
      <c r="AX294" s="30">
        <v>0</v>
      </c>
      <c r="AY294" s="30">
        <v>0</v>
      </c>
    </row>
    <row r="295" spans="1:51">
      <c r="A295" s="30" t="s">
        <v>619</v>
      </c>
      <c r="B295" s="30" t="s">
        <v>818</v>
      </c>
      <c r="C295" s="30">
        <v>2</v>
      </c>
      <c r="D295" s="30">
        <v>31</v>
      </c>
      <c r="E295" s="30">
        <v>62</v>
      </c>
      <c r="F295" s="30" t="s">
        <v>621</v>
      </c>
      <c r="G295" s="30" t="s">
        <v>638</v>
      </c>
      <c r="H295" s="30">
        <v>0.69314699999999996</v>
      </c>
      <c r="I295" s="30">
        <v>3.4339870000000001</v>
      </c>
      <c r="J295" s="30">
        <v>1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30">
        <v>0</v>
      </c>
      <c r="AG295" s="30">
        <v>0</v>
      </c>
      <c r="AH295" s="30">
        <v>0</v>
      </c>
      <c r="AI295" s="30">
        <v>0</v>
      </c>
      <c r="AJ295" s="30">
        <v>0</v>
      </c>
      <c r="AK295" s="30">
        <v>0</v>
      </c>
      <c r="AL295" s="30">
        <v>0</v>
      </c>
      <c r="AM295" s="30">
        <v>0</v>
      </c>
      <c r="AN295" s="30">
        <v>0</v>
      </c>
      <c r="AO295" s="30">
        <v>0</v>
      </c>
      <c r="AP295" s="30">
        <v>0</v>
      </c>
      <c r="AQ295" s="30">
        <v>0</v>
      </c>
      <c r="AR295" s="30">
        <v>0</v>
      </c>
      <c r="AS295" s="30">
        <v>0</v>
      </c>
      <c r="AT295" s="30">
        <v>0</v>
      </c>
      <c r="AU295" s="30">
        <v>0</v>
      </c>
      <c r="AV295" s="30">
        <v>0</v>
      </c>
      <c r="AW295" s="30">
        <v>0</v>
      </c>
      <c r="AX295" s="30">
        <v>0</v>
      </c>
      <c r="AY295" s="30">
        <v>0</v>
      </c>
    </row>
    <row r="296" spans="1:51">
      <c r="A296" s="30" t="s">
        <v>619</v>
      </c>
      <c r="B296" s="30" t="s">
        <v>819</v>
      </c>
      <c r="C296" s="30">
        <v>3</v>
      </c>
      <c r="D296" s="30">
        <v>100</v>
      </c>
      <c r="E296" s="30">
        <v>300</v>
      </c>
      <c r="F296" s="30" t="s">
        <v>621</v>
      </c>
      <c r="G296" s="30" t="s">
        <v>648</v>
      </c>
      <c r="H296" s="30">
        <v>1.0986119999999999</v>
      </c>
      <c r="I296" s="30">
        <v>4.6051700000000002</v>
      </c>
      <c r="J296" s="30">
        <v>1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  <c r="AE296" s="30">
        <v>0</v>
      </c>
      <c r="AF296" s="30">
        <v>0</v>
      </c>
      <c r="AG296" s="30">
        <v>0</v>
      </c>
      <c r="AH296" s="30">
        <v>0</v>
      </c>
      <c r="AI296" s="30">
        <v>0</v>
      </c>
      <c r="AJ296" s="30">
        <v>0</v>
      </c>
      <c r="AK296" s="30">
        <v>0</v>
      </c>
      <c r="AL296" s="30">
        <v>0</v>
      </c>
      <c r="AM296" s="30">
        <v>0</v>
      </c>
      <c r="AN296" s="30">
        <v>0</v>
      </c>
      <c r="AO296" s="30">
        <v>1</v>
      </c>
      <c r="AP296" s="30">
        <v>0</v>
      </c>
      <c r="AQ296" s="30">
        <v>0</v>
      </c>
      <c r="AR296" s="30">
        <v>0</v>
      </c>
      <c r="AS296" s="30">
        <v>0</v>
      </c>
      <c r="AT296" s="30">
        <v>0</v>
      </c>
      <c r="AU296" s="30">
        <v>0</v>
      </c>
      <c r="AV296" s="30">
        <v>0</v>
      </c>
      <c r="AW296" s="30">
        <v>0</v>
      </c>
      <c r="AX296" s="30">
        <v>0</v>
      </c>
      <c r="AY296" s="30">
        <v>0</v>
      </c>
    </row>
    <row r="297" spans="1:51">
      <c r="A297" s="30" t="s">
        <v>619</v>
      </c>
      <c r="B297" s="30" t="s">
        <v>820</v>
      </c>
      <c r="C297" s="30">
        <v>5</v>
      </c>
      <c r="D297" s="30">
        <v>585</v>
      </c>
      <c r="E297" s="30">
        <v>2925</v>
      </c>
      <c r="F297" s="30" t="s">
        <v>621</v>
      </c>
      <c r="G297" s="30" t="s">
        <v>648</v>
      </c>
      <c r="H297" s="30">
        <v>1.6094379999999999</v>
      </c>
      <c r="I297" s="30">
        <v>6.3716119999999998</v>
      </c>
      <c r="J297" s="30">
        <v>1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30">
        <v>0</v>
      </c>
      <c r="AG297" s="30">
        <v>0</v>
      </c>
      <c r="AH297" s="30">
        <v>0</v>
      </c>
      <c r="AI297" s="30">
        <v>0</v>
      </c>
      <c r="AJ297" s="30">
        <v>0</v>
      </c>
      <c r="AK297" s="30">
        <v>0</v>
      </c>
      <c r="AL297" s="30">
        <v>0</v>
      </c>
      <c r="AM297" s="30">
        <v>0</v>
      </c>
      <c r="AN297" s="30">
        <v>0</v>
      </c>
      <c r="AO297" s="30">
        <v>1</v>
      </c>
      <c r="AP297" s="30">
        <v>0</v>
      </c>
      <c r="AQ297" s="30">
        <v>0</v>
      </c>
      <c r="AR297" s="30">
        <v>0</v>
      </c>
      <c r="AS297" s="30">
        <v>0</v>
      </c>
      <c r="AT297" s="30">
        <v>0</v>
      </c>
      <c r="AU297" s="30">
        <v>0</v>
      </c>
      <c r="AV297" s="30">
        <v>0</v>
      </c>
      <c r="AW297" s="30">
        <v>0</v>
      </c>
      <c r="AX297" s="30">
        <v>0</v>
      </c>
      <c r="AY297" s="30">
        <v>0</v>
      </c>
    </row>
    <row r="298" spans="1:51">
      <c r="A298" s="30" t="s">
        <v>619</v>
      </c>
      <c r="B298" s="30" t="s">
        <v>821</v>
      </c>
      <c r="C298" s="30">
        <v>0.25</v>
      </c>
      <c r="D298" s="30">
        <v>793</v>
      </c>
      <c r="E298" s="30">
        <v>198.25</v>
      </c>
      <c r="F298" s="30" t="s">
        <v>626</v>
      </c>
      <c r="G298" s="30" t="s">
        <v>663</v>
      </c>
      <c r="H298" s="30">
        <v>-1.38629</v>
      </c>
      <c r="I298" s="30">
        <v>6.6758230000000003</v>
      </c>
      <c r="J298" s="30">
        <v>1</v>
      </c>
      <c r="K298" s="30">
        <v>0</v>
      </c>
      <c r="L298" s="30">
        <v>0</v>
      </c>
      <c r="M298" s="30">
        <v>1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1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30">
        <v>0</v>
      </c>
      <c r="AG298" s="30">
        <v>0</v>
      </c>
      <c r="AH298" s="30">
        <v>0</v>
      </c>
      <c r="AI298" s="30">
        <v>0</v>
      </c>
      <c r="AJ298" s="30">
        <v>0</v>
      </c>
      <c r="AK298" s="30">
        <v>0</v>
      </c>
      <c r="AL298" s="30">
        <v>0</v>
      </c>
      <c r="AM298" s="30">
        <v>0</v>
      </c>
      <c r="AN298" s="30">
        <v>0</v>
      </c>
      <c r="AO298" s="30">
        <v>0</v>
      </c>
      <c r="AP298" s="30">
        <v>0</v>
      </c>
      <c r="AQ298" s="30">
        <v>0</v>
      </c>
      <c r="AR298" s="30">
        <v>0</v>
      </c>
      <c r="AS298" s="30">
        <v>0</v>
      </c>
      <c r="AT298" s="30">
        <v>0</v>
      </c>
      <c r="AU298" s="30">
        <v>0</v>
      </c>
      <c r="AV298" s="30">
        <v>0</v>
      </c>
      <c r="AW298" s="30">
        <v>0</v>
      </c>
      <c r="AX298" s="30">
        <v>0</v>
      </c>
      <c r="AY298" s="30">
        <v>0</v>
      </c>
    </row>
    <row r="299" spans="1:51">
      <c r="A299" s="30" t="s">
        <v>619</v>
      </c>
      <c r="B299" s="30" t="s">
        <v>822</v>
      </c>
      <c r="C299" s="30">
        <v>1.5</v>
      </c>
      <c r="D299" s="30">
        <v>161</v>
      </c>
      <c r="E299" s="30">
        <v>187.5</v>
      </c>
      <c r="F299" s="30" t="s">
        <v>626</v>
      </c>
      <c r="G299" s="30" t="s">
        <v>663</v>
      </c>
      <c r="H299" s="30">
        <v>0.40546500000000002</v>
      </c>
      <c r="I299" s="30">
        <v>5.081404</v>
      </c>
      <c r="J299" s="30">
        <v>1</v>
      </c>
      <c r="K299" s="30">
        <v>0</v>
      </c>
      <c r="L299" s="30">
        <v>0</v>
      </c>
      <c r="M299" s="30">
        <v>1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1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  <c r="AE299" s="30">
        <v>0</v>
      </c>
      <c r="AF299" s="30">
        <v>0</v>
      </c>
      <c r="AG299" s="30">
        <v>0</v>
      </c>
      <c r="AH299" s="30">
        <v>0</v>
      </c>
      <c r="AI299" s="30">
        <v>0</v>
      </c>
      <c r="AJ299" s="30">
        <v>0</v>
      </c>
      <c r="AK299" s="30">
        <v>0</v>
      </c>
      <c r="AL299" s="30">
        <v>0</v>
      </c>
      <c r="AM299" s="30">
        <v>0</v>
      </c>
      <c r="AN299" s="30">
        <v>0</v>
      </c>
      <c r="AO299" s="30">
        <v>0</v>
      </c>
      <c r="AP299" s="30">
        <v>0</v>
      </c>
      <c r="AQ299" s="30">
        <v>0</v>
      </c>
      <c r="AR299" s="30">
        <v>0</v>
      </c>
      <c r="AS299" s="30">
        <v>0</v>
      </c>
      <c r="AT299" s="30">
        <v>0</v>
      </c>
      <c r="AU299" s="30">
        <v>0</v>
      </c>
      <c r="AV299" s="30">
        <v>0</v>
      </c>
      <c r="AW299" s="30">
        <v>0</v>
      </c>
      <c r="AX299" s="30">
        <v>0</v>
      </c>
      <c r="AY299" s="30">
        <v>0</v>
      </c>
    </row>
    <row r="300" spans="1:51">
      <c r="A300" s="30" t="s">
        <v>619</v>
      </c>
      <c r="B300" s="30" t="s">
        <v>823</v>
      </c>
      <c r="C300" s="30">
        <v>1</v>
      </c>
      <c r="D300" s="30">
        <v>63</v>
      </c>
      <c r="E300" s="30">
        <v>48.5</v>
      </c>
      <c r="F300" s="30" t="s">
        <v>626</v>
      </c>
      <c r="G300" s="30" t="s">
        <v>663</v>
      </c>
      <c r="H300" s="30">
        <v>0</v>
      </c>
      <c r="I300" s="30">
        <v>4.143135</v>
      </c>
      <c r="J300" s="30">
        <v>1</v>
      </c>
      <c r="K300" s="30">
        <v>0</v>
      </c>
      <c r="L300" s="30">
        <v>0</v>
      </c>
      <c r="M300" s="30">
        <v>1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1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30">
        <v>0</v>
      </c>
      <c r="AG300" s="30">
        <v>0</v>
      </c>
      <c r="AH300" s="30">
        <v>0</v>
      </c>
      <c r="AI300" s="30">
        <v>0</v>
      </c>
      <c r="AJ300" s="30">
        <v>0</v>
      </c>
      <c r="AK300" s="30">
        <v>0</v>
      </c>
      <c r="AL300" s="30">
        <v>0</v>
      </c>
      <c r="AM300" s="30">
        <v>0</v>
      </c>
      <c r="AN300" s="30">
        <v>0</v>
      </c>
      <c r="AO300" s="30">
        <v>0</v>
      </c>
      <c r="AP300" s="30">
        <v>0</v>
      </c>
      <c r="AQ300" s="30">
        <v>0</v>
      </c>
      <c r="AR300" s="30">
        <v>0</v>
      </c>
      <c r="AS300" s="30">
        <v>0</v>
      </c>
      <c r="AT300" s="30">
        <v>0</v>
      </c>
      <c r="AU300" s="30">
        <v>0</v>
      </c>
      <c r="AV300" s="30">
        <v>0</v>
      </c>
      <c r="AW300" s="30">
        <v>0</v>
      </c>
      <c r="AX300" s="30">
        <v>0</v>
      </c>
      <c r="AY300" s="30">
        <v>0</v>
      </c>
    </row>
    <row r="301" spans="1:51">
      <c r="A301" s="30" t="s">
        <v>619</v>
      </c>
      <c r="B301" s="30" t="s">
        <v>824</v>
      </c>
      <c r="C301" s="30">
        <v>2</v>
      </c>
      <c r="D301" s="30">
        <v>73</v>
      </c>
      <c r="E301" s="30">
        <v>145</v>
      </c>
      <c r="F301" s="30" t="s">
        <v>626</v>
      </c>
      <c r="G301" s="30" t="s">
        <v>663</v>
      </c>
      <c r="H301" s="30">
        <v>0.69314699999999996</v>
      </c>
      <c r="I301" s="30">
        <v>4.2904590000000002</v>
      </c>
      <c r="J301" s="30">
        <v>1</v>
      </c>
      <c r="K301" s="30">
        <v>0</v>
      </c>
      <c r="L301" s="30">
        <v>0</v>
      </c>
      <c r="M301" s="30">
        <v>1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30">
        <v>0</v>
      </c>
      <c r="AG301" s="30">
        <v>0</v>
      </c>
      <c r="AH301" s="30">
        <v>0</v>
      </c>
      <c r="AI301" s="30">
        <v>0</v>
      </c>
      <c r="AJ301" s="30">
        <v>0</v>
      </c>
      <c r="AK301" s="30">
        <v>0</v>
      </c>
      <c r="AL301" s="30">
        <v>0</v>
      </c>
      <c r="AM301" s="30">
        <v>0</v>
      </c>
      <c r="AN301" s="30">
        <v>0</v>
      </c>
      <c r="AO301" s="30">
        <v>0</v>
      </c>
      <c r="AP301" s="30">
        <v>0</v>
      </c>
      <c r="AQ301" s="30">
        <v>0</v>
      </c>
      <c r="AR301" s="30">
        <v>0</v>
      </c>
      <c r="AS301" s="30">
        <v>0</v>
      </c>
      <c r="AT301" s="30">
        <v>0</v>
      </c>
      <c r="AU301" s="30">
        <v>0</v>
      </c>
      <c r="AV301" s="30">
        <v>0</v>
      </c>
      <c r="AW301" s="30">
        <v>0</v>
      </c>
      <c r="AX301" s="30">
        <v>0</v>
      </c>
      <c r="AY301" s="30">
        <v>0</v>
      </c>
    </row>
    <row r="302" spans="1:51">
      <c r="A302" s="30" t="s">
        <v>619</v>
      </c>
      <c r="B302" s="30" t="s">
        <v>825</v>
      </c>
      <c r="C302" s="30">
        <v>2</v>
      </c>
      <c r="D302" s="30">
        <v>92</v>
      </c>
      <c r="E302" s="30">
        <v>49</v>
      </c>
      <c r="F302" s="30" t="s">
        <v>626</v>
      </c>
      <c r="G302" s="30" t="s">
        <v>663</v>
      </c>
      <c r="H302" s="30">
        <v>0.69314699999999996</v>
      </c>
      <c r="I302" s="30">
        <v>4.5217890000000001</v>
      </c>
      <c r="J302" s="30">
        <v>1</v>
      </c>
      <c r="K302" s="30">
        <v>0</v>
      </c>
      <c r="L302" s="30">
        <v>0</v>
      </c>
      <c r="M302" s="30">
        <v>1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1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30">
        <v>0</v>
      </c>
      <c r="AG302" s="30">
        <v>0</v>
      </c>
      <c r="AH302" s="30">
        <v>0</v>
      </c>
      <c r="AI302" s="30">
        <v>0</v>
      </c>
      <c r="AJ302" s="30">
        <v>0</v>
      </c>
      <c r="AK302" s="30">
        <v>0</v>
      </c>
      <c r="AL302" s="30">
        <v>0</v>
      </c>
      <c r="AM302" s="30">
        <v>0</v>
      </c>
      <c r="AN302" s="30">
        <v>0</v>
      </c>
      <c r="AO302" s="30">
        <v>0</v>
      </c>
      <c r="AP302" s="30">
        <v>0</v>
      </c>
      <c r="AQ302" s="30">
        <v>0</v>
      </c>
      <c r="AR302" s="30">
        <v>0</v>
      </c>
      <c r="AS302" s="30">
        <v>0</v>
      </c>
      <c r="AT302" s="30">
        <v>0</v>
      </c>
      <c r="AU302" s="30">
        <v>0</v>
      </c>
      <c r="AV302" s="30">
        <v>0</v>
      </c>
      <c r="AW302" s="30">
        <v>0</v>
      </c>
      <c r="AX302" s="30">
        <v>0</v>
      </c>
      <c r="AY302" s="30">
        <v>0</v>
      </c>
    </row>
    <row r="303" spans="1:51">
      <c r="A303" s="30" t="s">
        <v>619</v>
      </c>
      <c r="B303" s="30" t="s">
        <v>826</v>
      </c>
      <c r="C303" s="30">
        <v>0.5</v>
      </c>
      <c r="D303" s="30">
        <v>83</v>
      </c>
      <c r="E303" s="30">
        <v>36.75</v>
      </c>
      <c r="F303" s="30" t="s">
        <v>626</v>
      </c>
      <c r="G303" s="30" t="s">
        <v>663</v>
      </c>
      <c r="H303" s="30">
        <v>-0.69315000000000004</v>
      </c>
      <c r="I303" s="30">
        <v>4.4188409999999996</v>
      </c>
      <c r="J303" s="30">
        <v>1</v>
      </c>
      <c r="K303" s="30">
        <v>0</v>
      </c>
      <c r="L303" s="30">
        <v>0</v>
      </c>
      <c r="M303" s="30">
        <v>1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1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30">
        <v>0</v>
      </c>
      <c r="AG303" s="30">
        <v>0</v>
      </c>
      <c r="AH303" s="30">
        <v>0</v>
      </c>
      <c r="AI303" s="30">
        <v>0</v>
      </c>
      <c r="AJ303" s="30">
        <v>0</v>
      </c>
      <c r="AK303" s="30">
        <v>0</v>
      </c>
      <c r="AL303" s="30">
        <v>0</v>
      </c>
      <c r="AM303" s="30">
        <v>0</v>
      </c>
      <c r="AN303" s="30">
        <v>0</v>
      </c>
      <c r="AO303" s="30">
        <v>0</v>
      </c>
      <c r="AP303" s="30">
        <v>0</v>
      </c>
      <c r="AQ303" s="30">
        <v>0</v>
      </c>
      <c r="AR303" s="30">
        <v>0</v>
      </c>
      <c r="AS303" s="30">
        <v>0</v>
      </c>
      <c r="AT303" s="30">
        <v>0</v>
      </c>
      <c r="AU303" s="30">
        <v>0</v>
      </c>
      <c r="AV303" s="30">
        <v>0</v>
      </c>
      <c r="AW303" s="30">
        <v>0</v>
      </c>
      <c r="AX303" s="30">
        <v>0</v>
      </c>
      <c r="AY303" s="30">
        <v>0</v>
      </c>
    </row>
    <row r="304" spans="1:51">
      <c r="A304" s="30" t="s">
        <v>619</v>
      </c>
      <c r="B304" s="30" t="s">
        <v>827</v>
      </c>
      <c r="C304" s="30">
        <v>2</v>
      </c>
      <c r="D304" s="30">
        <v>358</v>
      </c>
      <c r="E304" s="30">
        <v>567</v>
      </c>
      <c r="F304" s="30" t="s">
        <v>626</v>
      </c>
      <c r="G304" s="30" t="s">
        <v>663</v>
      </c>
      <c r="H304" s="30">
        <v>0.69314699999999996</v>
      </c>
      <c r="I304" s="30">
        <v>5.8805329999999998</v>
      </c>
      <c r="J304" s="30">
        <v>1</v>
      </c>
      <c r="K304" s="30">
        <v>0</v>
      </c>
      <c r="L304" s="30">
        <v>0</v>
      </c>
      <c r="M304" s="30">
        <v>1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1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30">
        <v>0</v>
      </c>
      <c r="AG304" s="30">
        <v>0</v>
      </c>
      <c r="AH304" s="30">
        <v>0</v>
      </c>
      <c r="AI304" s="30">
        <v>0</v>
      </c>
      <c r="AJ304" s="30">
        <v>0</v>
      </c>
      <c r="AK304" s="30">
        <v>0</v>
      </c>
      <c r="AL304" s="30">
        <v>0</v>
      </c>
      <c r="AM304" s="30">
        <v>0</v>
      </c>
      <c r="AN304" s="30">
        <v>0</v>
      </c>
      <c r="AO304" s="30">
        <v>0</v>
      </c>
      <c r="AP304" s="30">
        <v>0</v>
      </c>
      <c r="AQ304" s="30">
        <v>0</v>
      </c>
      <c r="AR304" s="30">
        <v>0</v>
      </c>
      <c r="AS304" s="30">
        <v>0</v>
      </c>
      <c r="AT304" s="30">
        <v>0</v>
      </c>
      <c r="AU304" s="30">
        <v>0</v>
      </c>
      <c r="AV304" s="30">
        <v>0</v>
      </c>
      <c r="AW304" s="30">
        <v>0</v>
      </c>
      <c r="AX304" s="30">
        <v>0</v>
      </c>
      <c r="AY304" s="30">
        <v>0</v>
      </c>
    </row>
    <row r="305" spans="1:51">
      <c r="A305" s="30" t="s">
        <v>619</v>
      </c>
      <c r="B305" s="30" t="s">
        <v>828</v>
      </c>
      <c r="C305" s="30">
        <v>2.5</v>
      </c>
      <c r="D305" s="30">
        <v>164</v>
      </c>
      <c r="E305" s="30">
        <v>338.75</v>
      </c>
      <c r="F305" s="30" t="s">
        <v>626</v>
      </c>
      <c r="G305" s="30" t="s">
        <v>663</v>
      </c>
      <c r="H305" s="30">
        <v>0.91629099999999997</v>
      </c>
      <c r="I305" s="30">
        <v>5.0998659999999996</v>
      </c>
      <c r="J305" s="30">
        <v>1</v>
      </c>
      <c r="K305" s="30">
        <v>0</v>
      </c>
      <c r="L305" s="30">
        <v>0</v>
      </c>
      <c r="M305" s="30">
        <v>1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1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30">
        <v>0</v>
      </c>
      <c r="AG305" s="30">
        <v>0</v>
      </c>
      <c r="AH305" s="30">
        <v>0</v>
      </c>
      <c r="AI305" s="30">
        <v>0</v>
      </c>
      <c r="AJ305" s="30">
        <v>0</v>
      </c>
      <c r="AK305" s="30">
        <v>0</v>
      </c>
      <c r="AL305" s="30">
        <v>0</v>
      </c>
      <c r="AM305" s="30">
        <v>0</v>
      </c>
      <c r="AN305" s="30">
        <v>0</v>
      </c>
      <c r="AO305" s="30">
        <v>0</v>
      </c>
      <c r="AP305" s="30">
        <v>0</v>
      </c>
      <c r="AQ305" s="30">
        <v>0</v>
      </c>
      <c r="AR305" s="30">
        <v>0</v>
      </c>
      <c r="AS305" s="30">
        <v>0</v>
      </c>
      <c r="AT305" s="30">
        <v>0</v>
      </c>
      <c r="AU305" s="30">
        <v>0</v>
      </c>
      <c r="AV305" s="30">
        <v>0</v>
      </c>
      <c r="AW305" s="30">
        <v>0</v>
      </c>
      <c r="AX305" s="30">
        <v>0</v>
      </c>
      <c r="AY305" s="30">
        <v>0</v>
      </c>
    </row>
    <row r="306" spans="1:51">
      <c r="A306" s="30" t="s">
        <v>619</v>
      </c>
      <c r="B306" s="30" t="s">
        <v>829</v>
      </c>
      <c r="C306" s="30">
        <v>2</v>
      </c>
      <c r="D306" s="30">
        <v>78</v>
      </c>
      <c r="E306" s="30">
        <v>128</v>
      </c>
      <c r="F306" s="30" t="s">
        <v>626</v>
      </c>
      <c r="G306" s="30" t="s">
        <v>663</v>
      </c>
      <c r="H306" s="30">
        <v>0.69314699999999996</v>
      </c>
      <c r="I306" s="30">
        <v>4.3567090000000004</v>
      </c>
      <c r="J306" s="30">
        <v>1</v>
      </c>
      <c r="K306" s="30">
        <v>0</v>
      </c>
      <c r="L306" s="30">
        <v>0</v>
      </c>
      <c r="M306" s="30">
        <v>1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1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30">
        <v>0</v>
      </c>
      <c r="AG306" s="30">
        <v>0</v>
      </c>
      <c r="AH306" s="30">
        <v>0</v>
      </c>
      <c r="AI306" s="30">
        <v>0</v>
      </c>
      <c r="AJ306" s="30">
        <v>0</v>
      </c>
      <c r="AK306" s="30">
        <v>0</v>
      </c>
      <c r="AL306" s="30">
        <v>0</v>
      </c>
      <c r="AM306" s="30">
        <v>0</v>
      </c>
      <c r="AN306" s="30">
        <v>0</v>
      </c>
      <c r="AO306" s="30">
        <v>0</v>
      </c>
      <c r="AP306" s="30">
        <v>0</v>
      </c>
      <c r="AQ306" s="30">
        <v>0</v>
      </c>
      <c r="AR306" s="30">
        <v>0</v>
      </c>
      <c r="AS306" s="30">
        <v>0</v>
      </c>
      <c r="AT306" s="30">
        <v>0</v>
      </c>
      <c r="AU306" s="30">
        <v>0</v>
      </c>
      <c r="AV306" s="30">
        <v>0</v>
      </c>
      <c r="AW306" s="30">
        <v>0</v>
      </c>
      <c r="AX306" s="30">
        <v>0</v>
      </c>
      <c r="AY306" s="30">
        <v>0</v>
      </c>
    </row>
    <row r="307" spans="1:51">
      <c r="A307" s="30" t="s">
        <v>619</v>
      </c>
      <c r="B307" s="30" t="s">
        <v>830</v>
      </c>
      <c r="C307" s="30">
        <v>1</v>
      </c>
      <c r="D307" s="30">
        <v>87</v>
      </c>
      <c r="E307" s="30">
        <v>85</v>
      </c>
      <c r="F307" s="30" t="s">
        <v>626</v>
      </c>
      <c r="G307" s="30" t="s">
        <v>663</v>
      </c>
      <c r="H307" s="30">
        <v>0</v>
      </c>
      <c r="I307" s="30">
        <v>4.4659079999999998</v>
      </c>
      <c r="J307" s="30">
        <v>1</v>
      </c>
      <c r="K307" s="30">
        <v>0</v>
      </c>
      <c r="L307" s="30">
        <v>0</v>
      </c>
      <c r="M307" s="30">
        <v>1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1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30">
        <v>0</v>
      </c>
      <c r="AM307" s="30">
        <v>0</v>
      </c>
      <c r="AN307" s="30">
        <v>0</v>
      </c>
      <c r="AO307" s="30">
        <v>0</v>
      </c>
      <c r="AP307" s="30">
        <v>0</v>
      </c>
      <c r="AQ307" s="30">
        <v>0</v>
      </c>
      <c r="AR307" s="30">
        <v>0</v>
      </c>
      <c r="AS307" s="30">
        <v>0</v>
      </c>
      <c r="AT307" s="30">
        <v>0</v>
      </c>
      <c r="AU307" s="30">
        <v>0</v>
      </c>
      <c r="AV307" s="30">
        <v>0</v>
      </c>
      <c r="AW307" s="30">
        <v>0</v>
      </c>
      <c r="AX307" s="30">
        <v>0</v>
      </c>
      <c r="AY307" s="30">
        <v>0</v>
      </c>
    </row>
    <row r="308" spans="1:51">
      <c r="A308" s="30" t="s">
        <v>619</v>
      </c>
      <c r="B308" s="30" t="s">
        <v>831</v>
      </c>
      <c r="C308" s="30">
        <v>2</v>
      </c>
      <c r="D308" s="30">
        <v>221</v>
      </c>
      <c r="E308" s="30">
        <v>78</v>
      </c>
      <c r="F308" s="30" t="s">
        <v>626</v>
      </c>
      <c r="G308" s="30" t="s">
        <v>663</v>
      </c>
      <c r="H308" s="30">
        <v>0.69314699999999996</v>
      </c>
      <c r="I308" s="30">
        <v>5.3981630000000003</v>
      </c>
      <c r="J308" s="30">
        <v>1</v>
      </c>
      <c r="K308" s="30">
        <v>0</v>
      </c>
      <c r="L308" s="30">
        <v>0</v>
      </c>
      <c r="M308" s="30">
        <v>1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1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30">
        <v>0</v>
      </c>
      <c r="AG308" s="30">
        <v>0</v>
      </c>
      <c r="AH308" s="30">
        <v>0</v>
      </c>
      <c r="AI308" s="30">
        <v>0</v>
      </c>
      <c r="AJ308" s="30">
        <v>0</v>
      </c>
      <c r="AK308" s="30">
        <v>0</v>
      </c>
      <c r="AL308" s="30">
        <v>0</v>
      </c>
      <c r="AM308" s="30">
        <v>0</v>
      </c>
      <c r="AN308" s="30">
        <v>0</v>
      </c>
      <c r="AO308" s="30">
        <v>0</v>
      </c>
      <c r="AP308" s="30">
        <v>0</v>
      </c>
      <c r="AQ308" s="30">
        <v>0</v>
      </c>
      <c r="AR308" s="30">
        <v>0</v>
      </c>
      <c r="AS308" s="30">
        <v>0</v>
      </c>
      <c r="AT308" s="30">
        <v>0</v>
      </c>
      <c r="AU308" s="30">
        <v>0</v>
      </c>
      <c r="AV308" s="30">
        <v>0</v>
      </c>
      <c r="AW308" s="30">
        <v>0</v>
      </c>
      <c r="AX308" s="30">
        <v>0</v>
      </c>
      <c r="AY308" s="30">
        <v>0</v>
      </c>
    </row>
    <row r="309" spans="1:51">
      <c r="A309" s="30" t="s">
        <v>619</v>
      </c>
      <c r="B309" s="30" t="s">
        <v>832</v>
      </c>
      <c r="C309" s="30">
        <v>2.5</v>
      </c>
      <c r="D309" s="30">
        <v>111</v>
      </c>
      <c r="E309" s="30">
        <v>245</v>
      </c>
      <c r="F309" s="30" t="s">
        <v>626</v>
      </c>
      <c r="G309" s="30" t="s">
        <v>663</v>
      </c>
      <c r="H309" s="30">
        <v>0.91629099999999997</v>
      </c>
      <c r="I309" s="30">
        <v>4.70953</v>
      </c>
      <c r="J309" s="30">
        <v>1</v>
      </c>
      <c r="K309" s="30">
        <v>0</v>
      </c>
      <c r="L309" s="30">
        <v>0</v>
      </c>
      <c r="M309" s="30">
        <v>1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1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30">
        <v>0</v>
      </c>
      <c r="AG309" s="30">
        <v>0</v>
      </c>
      <c r="AH309" s="30">
        <v>0</v>
      </c>
      <c r="AI309" s="30">
        <v>0</v>
      </c>
      <c r="AJ309" s="30">
        <v>0</v>
      </c>
      <c r="AK309" s="30">
        <v>0</v>
      </c>
      <c r="AL309" s="30">
        <v>0</v>
      </c>
      <c r="AM309" s="30">
        <v>0</v>
      </c>
      <c r="AN309" s="30">
        <v>0</v>
      </c>
      <c r="AO309" s="30">
        <v>0</v>
      </c>
      <c r="AP309" s="30">
        <v>0</v>
      </c>
      <c r="AQ309" s="30">
        <v>0</v>
      </c>
      <c r="AR309" s="30">
        <v>0</v>
      </c>
      <c r="AS309" s="30">
        <v>0</v>
      </c>
      <c r="AT309" s="30">
        <v>0</v>
      </c>
      <c r="AU309" s="30">
        <v>0</v>
      </c>
      <c r="AV309" s="30">
        <v>0</v>
      </c>
      <c r="AW309" s="30">
        <v>0</v>
      </c>
      <c r="AX309" s="30">
        <v>0</v>
      </c>
      <c r="AY309" s="30">
        <v>0</v>
      </c>
    </row>
    <row r="310" spans="1:51">
      <c r="A310" s="30" t="s">
        <v>619</v>
      </c>
      <c r="B310" s="30" t="s">
        <v>833</v>
      </c>
      <c r="C310" s="30">
        <v>2</v>
      </c>
      <c r="D310" s="30">
        <v>208</v>
      </c>
      <c r="E310" s="30">
        <v>243</v>
      </c>
      <c r="F310" s="30" t="s">
        <v>626</v>
      </c>
      <c r="G310" s="30" t="s">
        <v>663</v>
      </c>
      <c r="H310" s="30">
        <v>0.69314699999999996</v>
      </c>
      <c r="I310" s="30">
        <v>5.3375380000000003</v>
      </c>
      <c r="J310" s="30">
        <v>1</v>
      </c>
      <c r="K310" s="30">
        <v>0</v>
      </c>
      <c r="L310" s="30">
        <v>0</v>
      </c>
      <c r="M310" s="30">
        <v>1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1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30">
        <v>0</v>
      </c>
      <c r="AG310" s="30">
        <v>0</v>
      </c>
      <c r="AH310" s="30">
        <v>0</v>
      </c>
      <c r="AI310" s="30">
        <v>0</v>
      </c>
      <c r="AJ310" s="30">
        <v>0</v>
      </c>
      <c r="AK310" s="30">
        <v>0</v>
      </c>
      <c r="AL310" s="30">
        <v>0</v>
      </c>
      <c r="AM310" s="30">
        <v>0</v>
      </c>
      <c r="AN310" s="30">
        <v>0</v>
      </c>
      <c r="AO310" s="30">
        <v>0</v>
      </c>
      <c r="AP310" s="30">
        <v>0</v>
      </c>
      <c r="AQ310" s="30">
        <v>0</v>
      </c>
      <c r="AR310" s="30">
        <v>0</v>
      </c>
      <c r="AS310" s="30">
        <v>0</v>
      </c>
      <c r="AT310" s="30">
        <v>0</v>
      </c>
      <c r="AU310" s="30">
        <v>0</v>
      </c>
      <c r="AV310" s="30">
        <v>0</v>
      </c>
      <c r="AW310" s="30">
        <v>0</v>
      </c>
      <c r="AX310" s="30">
        <v>0</v>
      </c>
      <c r="AY310" s="30">
        <v>0</v>
      </c>
    </row>
    <row r="311" spans="1:51">
      <c r="A311" s="30" t="s">
        <v>619</v>
      </c>
      <c r="B311" s="30" t="s">
        <v>834</v>
      </c>
      <c r="C311" s="30">
        <v>1.5</v>
      </c>
      <c r="D311" s="30">
        <v>60</v>
      </c>
      <c r="E311" s="30">
        <v>87</v>
      </c>
      <c r="F311" s="30" t="s">
        <v>626</v>
      </c>
      <c r="G311" s="30" t="s">
        <v>663</v>
      </c>
      <c r="H311" s="30">
        <v>0.40546500000000002</v>
      </c>
      <c r="I311" s="30">
        <v>4.0943449999999997</v>
      </c>
      <c r="J311" s="30">
        <v>1</v>
      </c>
      <c r="K311" s="30">
        <v>0</v>
      </c>
      <c r="L311" s="30">
        <v>0</v>
      </c>
      <c r="M311" s="30">
        <v>1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1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30">
        <v>0</v>
      </c>
      <c r="AG311" s="30">
        <v>0</v>
      </c>
      <c r="AH311" s="30">
        <v>0</v>
      </c>
      <c r="AI311" s="30">
        <v>0</v>
      </c>
      <c r="AJ311" s="30">
        <v>0</v>
      </c>
      <c r="AK311" s="30">
        <v>0</v>
      </c>
      <c r="AL311" s="30">
        <v>0</v>
      </c>
      <c r="AM311" s="30">
        <v>0</v>
      </c>
      <c r="AN311" s="30">
        <v>0</v>
      </c>
      <c r="AO311" s="30">
        <v>0</v>
      </c>
      <c r="AP311" s="30">
        <v>0</v>
      </c>
      <c r="AQ311" s="30">
        <v>0</v>
      </c>
      <c r="AR311" s="30">
        <v>0</v>
      </c>
      <c r="AS311" s="30">
        <v>0</v>
      </c>
      <c r="AT311" s="30">
        <v>0</v>
      </c>
      <c r="AU311" s="30">
        <v>0</v>
      </c>
      <c r="AV311" s="30">
        <v>0</v>
      </c>
      <c r="AW311" s="30">
        <v>0</v>
      </c>
      <c r="AX311" s="30">
        <v>0</v>
      </c>
      <c r="AY311" s="30">
        <v>0</v>
      </c>
    </row>
    <row r="312" spans="1:51">
      <c r="A312" s="30" t="s">
        <v>619</v>
      </c>
      <c r="B312" s="30" t="s">
        <v>835</v>
      </c>
      <c r="C312" s="30">
        <v>1.5</v>
      </c>
      <c r="D312" s="30">
        <v>141</v>
      </c>
      <c r="E312" s="30">
        <v>183.75</v>
      </c>
      <c r="F312" s="30" t="s">
        <v>626</v>
      </c>
      <c r="G312" s="30" t="s">
        <v>663</v>
      </c>
      <c r="H312" s="30">
        <v>0.40546500000000002</v>
      </c>
      <c r="I312" s="30">
        <v>4.94876</v>
      </c>
      <c r="J312" s="30">
        <v>1</v>
      </c>
      <c r="K312" s="30">
        <v>0</v>
      </c>
      <c r="L312" s="30">
        <v>0</v>
      </c>
      <c r="M312" s="30">
        <v>1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1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30">
        <v>0</v>
      </c>
      <c r="AG312" s="30">
        <v>0</v>
      </c>
      <c r="AH312" s="30">
        <v>0</v>
      </c>
      <c r="AI312" s="30">
        <v>0</v>
      </c>
      <c r="AJ312" s="30">
        <v>0</v>
      </c>
      <c r="AK312" s="30">
        <v>0</v>
      </c>
      <c r="AL312" s="30">
        <v>0</v>
      </c>
      <c r="AM312" s="30">
        <v>0</v>
      </c>
      <c r="AN312" s="30">
        <v>0</v>
      </c>
      <c r="AO312" s="30">
        <v>0</v>
      </c>
      <c r="AP312" s="30">
        <v>0</v>
      </c>
      <c r="AQ312" s="30">
        <v>0</v>
      </c>
      <c r="AR312" s="30">
        <v>0</v>
      </c>
      <c r="AS312" s="30">
        <v>0</v>
      </c>
      <c r="AT312" s="30">
        <v>0</v>
      </c>
      <c r="AU312" s="30">
        <v>0</v>
      </c>
      <c r="AV312" s="30">
        <v>0</v>
      </c>
      <c r="AW312" s="30">
        <v>0</v>
      </c>
      <c r="AX312" s="30">
        <v>0</v>
      </c>
      <c r="AY312" s="30">
        <v>0</v>
      </c>
    </row>
    <row r="313" spans="1:51">
      <c r="A313" s="30" t="s">
        <v>619</v>
      </c>
      <c r="B313" s="30" t="s">
        <v>836</v>
      </c>
      <c r="C313" s="30">
        <v>3</v>
      </c>
      <c r="D313" s="30">
        <v>116</v>
      </c>
      <c r="E313" s="30">
        <v>348</v>
      </c>
      <c r="F313" s="30" t="s">
        <v>621</v>
      </c>
      <c r="G313" s="30" t="s">
        <v>624</v>
      </c>
      <c r="H313" s="30">
        <v>1.0986119999999999</v>
      </c>
      <c r="I313" s="30">
        <v>4.75359</v>
      </c>
      <c r="J313" s="30">
        <v>1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0">
        <v>0</v>
      </c>
      <c r="AF313" s="30">
        <v>0</v>
      </c>
      <c r="AG313" s="30">
        <v>0</v>
      </c>
      <c r="AH313" s="30">
        <v>0</v>
      </c>
      <c r="AI313" s="30">
        <v>0</v>
      </c>
      <c r="AJ313" s="30">
        <v>0</v>
      </c>
      <c r="AK313" s="30">
        <v>0</v>
      </c>
      <c r="AL313" s="30">
        <v>1</v>
      </c>
      <c r="AM313" s="30">
        <v>0</v>
      </c>
      <c r="AN313" s="30">
        <v>0</v>
      </c>
      <c r="AO313" s="30">
        <v>0</v>
      </c>
      <c r="AP313" s="30">
        <v>0</v>
      </c>
      <c r="AQ313" s="30">
        <v>0</v>
      </c>
      <c r="AR313" s="30">
        <v>0</v>
      </c>
      <c r="AS313" s="30">
        <v>0</v>
      </c>
      <c r="AT313" s="30">
        <v>0</v>
      </c>
      <c r="AU313" s="30">
        <v>0</v>
      </c>
      <c r="AV313" s="30">
        <v>0</v>
      </c>
      <c r="AW313" s="30">
        <v>0</v>
      </c>
      <c r="AX313" s="30">
        <v>0</v>
      </c>
      <c r="AY313" s="30">
        <v>0</v>
      </c>
    </row>
    <row r="314" spans="1:51">
      <c r="A314" s="30" t="s">
        <v>619</v>
      </c>
      <c r="B314" s="30" t="s">
        <v>837</v>
      </c>
      <c r="C314" s="30">
        <v>1</v>
      </c>
      <c r="D314" s="30">
        <v>85</v>
      </c>
      <c r="E314" s="30">
        <v>82</v>
      </c>
      <c r="F314" s="30" t="s">
        <v>626</v>
      </c>
      <c r="G314" s="30" t="s">
        <v>663</v>
      </c>
      <c r="H314" s="30">
        <v>0</v>
      </c>
      <c r="I314" s="30">
        <v>4.4426509999999997</v>
      </c>
      <c r="J314" s="30">
        <v>1</v>
      </c>
      <c r="K314" s="30">
        <v>0</v>
      </c>
      <c r="L314" s="30">
        <v>0</v>
      </c>
      <c r="M314" s="30">
        <v>1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1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30">
        <v>0</v>
      </c>
      <c r="AG314" s="30">
        <v>0</v>
      </c>
      <c r="AH314" s="30">
        <v>0</v>
      </c>
      <c r="AI314" s="30">
        <v>0</v>
      </c>
      <c r="AJ314" s="30">
        <v>0</v>
      </c>
      <c r="AK314" s="30">
        <v>0</v>
      </c>
      <c r="AL314" s="30">
        <v>0</v>
      </c>
      <c r="AM314" s="30">
        <v>0</v>
      </c>
      <c r="AN314" s="30">
        <v>0</v>
      </c>
      <c r="AO314" s="30">
        <v>0</v>
      </c>
      <c r="AP314" s="30">
        <v>0</v>
      </c>
      <c r="AQ314" s="30">
        <v>0</v>
      </c>
      <c r="AR314" s="30">
        <v>0</v>
      </c>
      <c r="AS314" s="30">
        <v>0</v>
      </c>
      <c r="AT314" s="30">
        <v>0</v>
      </c>
      <c r="AU314" s="30">
        <v>0</v>
      </c>
      <c r="AV314" s="30">
        <v>0</v>
      </c>
      <c r="AW314" s="30">
        <v>0</v>
      </c>
      <c r="AX314" s="30">
        <v>0</v>
      </c>
      <c r="AY314" s="30">
        <v>0</v>
      </c>
    </row>
    <row r="315" spans="1:51">
      <c r="A315" s="30" t="s">
        <v>619</v>
      </c>
      <c r="B315" s="30" t="s">
        <v>838</v>
      </c>
      <c r="C315" s="30">
        <v>1</v>
      </c>
      <c r="D315" s="30">
        <v>72</v>
      </c>
      <c r="E315" s="30">
        <v>66.5</v>
      </c>
      <c r="F315" s="30" t="s">
        <v>626</v>
      </c>
      <c r="G315" s="30" t="s">
        <v>663</v>
      </c>
      <c r="H315" s="30">
        <v>0</v>
      </c>
      <c r="I315" s="30">
        <v>4.2766659999999996</v>
      </c>
      <c r="J315" s="30">
        <v>1</v>
      </c>
      <c r="K315" s="30">
        <v>0</v>
      </c>
      <c r="L315" s="30">
        <v>0</v>
      </c>
      <c r="M315" s="30">
        <v>1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1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30">
        <v>0</v>
      </c>
      <c r="AG315" s="30">
        <v>0</v>
      </c>
      <c r="AH315" s="30">
        <v>0</v>
      </c>
      <c r="AI315" s="30">
        <v>0</v>
      </c>
      <c r="AJ315" s="30">
        <v>0</v>
      </c>
      <c r="AK315" s="30">
        <v>0</v>
      </c>
      <c r="AL315" s="30">
        <v>0</v>
      </c>
      <c r="AM315" s="30">
        <v>0</v>
      </c>
      <c r="AN315" s="30">
        <v>0</v>
      </c>
      <c r="AO315" s="30">
        <v>0</v>
      </c>
      <c r="AP315" s="30">
        <v>0</v>
      </c>
      <c r="AQ315" s="30">
        <v>0</v>
      </c>
      <c r="AR315" s="30">
        <v>0</v>
      </c>
      <c r="AS315" s="30">
        <v>0</v>
      </c>
      <c r="AT315" s="30">
        <v>0</v>
      </c>
      <c r="AU315" s="30">
        <v>0</v>
      </c>
      <c r="AV315" s="30">
        <v>0</v>
      </c>
      <c r="AW315" s="30">
        <v>0</v>
      </c>
      <c r="AX315" s="30">
        <v>0</v>
      </c>
      <c r="AY315" s="30">
        <v>0</v>
      </c>
    </row>
    <row r="316" spans="1:51">
      <c r="A316" s="30" t="s">
        <v>619</v>
      </c>
      <c r="B316" s="30" t="s">
        <v>839</v>
      </c>
      <c r="C316" s="30">
        <v>2</v>
      </c>
      <c r="D316" s="30">
        <v>99</v>
      </c>
      <c r="E316" s="30">
        <v>153</v>
      </c>
      <c r="F316" s="30" t="s">
        <v>626</v>
      </c>
      <c r="G316" s="30" t="s">
        <v>663</v>
      </c>
      <c r="H316" s="30">
        <v>0.69314699999999996</v>
      </c>
      <c r="I316" s="30">
        <v>4.5951199999999996</v>
      </c>
      <c r="J316" s="30">
        <v>1</v>
      </c>
      <c r="K316" s="30">
        <v>0</v>
      </c>
      <c r="L316" s="30">
        <v>0</v>
      </c>
      <c r="M316" s="30">
        <v>1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1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30">
        <v>0</v>
      </c>
      <c r="AG316" s="30">
        <v>0</v>
      </c>
      <c r="AH316" s="30">
        <v>0</v>
      </c>
      <c r="AI316" s="30">
        <v>0</v>
      </c>
      <c r="AJ316" s="30">
        <v>0</v>
      </c>
      <c r="AK316" s="30">
        <v>0</v>
      </c>
      <c r="AL316" s="30">
        <v>0</v>
      </c>
      <c r="AM316" s="30">
        <v>0</v>
      </c>
      <c r="AN316" s="30">
        <v>0</v>
      </c>
      <c r="AO316" s="30">
        <v>0</v>
      </c>
      <c r="AP316" s="30">
        <v>0</v>
      </c>
      <c r="AQ316" s="30">
        <v>0</v>
      </c>
      <c r="AR316" s="30">
        <v>0</v>
      </c>
      <c r="AS316" s="30">
        <v>0</v>
      </c>
      <c r="AT316" s="30">
        <v>0</v>
      </c>
      <c r="AU316" s="30">
        <v>0</v>
      </c>
      <c r="AV316" s="30">
        <v>0</v>
      </c>
      <c r="AW316" s="30">
        <v>0</v>
      </c>
      <c r="AX316" s="30">
        <v>0</v>
      </c>
      <c r="AY316" s="30">
        <v>0</v>
      </c>
    </row>
    <row r="317" spans="1:51">
      <c r="A317" s="30" t="s">
        <v>619</v>
      </c>
      <c r="B317" s="30" t="s">
        <v>840</v>
      </c>
      <c r="C317" s="30">
        <v>2</v>
      </c>
      <c r="D317" s="30">
        <v>12</v>
      </c>
      <c r="E317" s="30">
        <v>23</v>
      </c>
      <c r="F317" s="30" t="s">
        <v>626</v>
      </c>
      <c r="G317" s="30" t="s">
        <v>663</v>
      </c>
      <c r="H317" s="30">
        <v>0.69314699999999996</v>
      </c>
      <c r="I317" s="30">
        <v>2.4849070000000002</v>
      </c>
      <c r="J317" s="30">
        <v>1</v>
      </c>
      <c r="K317" s="30">
        <v>0</v>
      </c>
      <c r="L317" s="30">
        <v>0</v>
      </c>
      <c r="M317" s="30">
        <v>1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1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30">
        <v>0</v>
      </c>
      <c r="AG317" s="30">
        <v>0</v>
      </c>
      <c r="AH317" s="30">
        <v>0</v>
      </c>
      <c r="AI317" s="30">
        <v>0</v>
      </c>
      <c r="AJ317" s="30">
        <v>0</v>
      </c>
      <c r="AK317" s="30">
        <v>0</v>
      </c>
      <c r="AL317" s="30">
        <v>0</v>
      </c>
      <c r="AM317" s="30">
        <v>0</v>
      </c>
      <c r="AN317" s="30">
        <v>0</v>
      </c>
      <c r="AO317" s="30">
        <v>0</v>
      </c>
      <c r="AP317" s="30">
        <v>0</v>
      </c>
      <c r="AQ317" s="30">
        <v>0</v>
      </c>
      <c r="AR317" s="30">
        <v>0</v>
      </c>
      <c r="AS317" s="30">
        <v>0</v>
      </c>
      <c r="AT317" s="30">
        <v>0</v>
      </c>
      <c r="AU317" s="30">
        <v>0</v>
      </c>
      <c r="AV317" s="30">
        <v>0</v>
      </c>
      <c r="AW317" s="30">
        <v>0</v>
      </c>
      <c r="AX317" s="30">
        <v>0</v>
      </c>
      <c r="AY317" s="30">
        <v>0</v>
      </c>
    </row>
    <row r="318" spans="1:51">
      <c r="A318" s="30" t="s">
        <v>619</v>
      </c>
      <c r="B318" s="30" t="s">
        <v>841</v>
      </c>
      <c r="C318" s="30">
        <v>5</v>
      </c>
      <c r="D318" s="30">
        <v>209</v>
      </c>
      <c r="E318" s="30">
        <v>1045</v>
      </c>
      <c r="F318" s="30" t="s">
        <v>626</v>
      </c>
      <c r="G318" s="30" t="s">
        <v>663</v>
      </c>
      <c r="H318" s="30">
        <v>1.6094379999999999</v>
      </c>
      <c r="I318" s="30">
        <v>5.3423340000000001</v>
      </c>
      <c r="J318" s="30">
        <v>1</v>
      </c>
      <c r="K318" s="30">
        <v>0</v>
      </c>
      <c r="L318" s="30">
        <v>0</v>
      </c>
      <c r="M318" s="30">
        <v>1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1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30">
        <v>0</v>
      </c>
      <c r="AG318" s="30">
        <v>0</v>
      </c>
      <c r="AH318" s="30">
        <v>0</v>
      </c>
      <c r="AI318" s="30">
        <v>0</v>
      </c>
      <c r="AJ318" s="30">
        <v>0</v>
      </c>
      <c r="AK318" s="30">
        <v>0</v>
      </c>
      <c r="AL318" s="30">
        <v>0</v>
      </c>
      <c r="AM318" s="30">
        <v>0</v>
      </c>
      <c r="AN318" s="30">
        <v>0</v>
      </c>
      <c r="AO318" s="30">
        <v>0</v>
      </c>
      <c r="AP318" s="30">
        <v>0</v>
      </c>
      <c r="AQ318" s="30">
        <v>0</v>
      </c>
      <c r="AR318" s="30">
        <v>0</v>
      </c>
      <c r="AS318" s="30">
        <v>0</v>
      </c>
      <c r="AT318" s="30">
        <v>0</v>
      </c>
      <c r="AU318" s="30">
        <v>0</v>
      </c>
      <c r="AV318" s="30">
        <v>0</v>
      </c>
      <c r="AW318" s="30">
        <v>0</v>
      </c>
      <c r="AX318" s="30">
        <v>0</v>
      </c>
      <c r="AY318" s="30">
        <v>0</v>
      </c>
    </row>
    <row r="319" spans="1:51">
      <c r="A319" s="30" t="s">
        <v>619</v>
      </c>
      <c r="B319" s="30" t="s">
        <v>842</v>
      </c>
      <c r="C319" s="30">
        <v>5</v>
      </c>
      <c r="D319" s="30">
        <v>8031</v>
      </c>
      <c r="E319" s="30">
        <v>40048.5</v>
      </c>
      <c r="F319" s="30" t="s">
        <v>621</v>
      </c>
      <c r="G319" s="30" t="s">
        <v>638</v>
      </c>
      <c r="H319" s="30">
        <v>1.6094379999999999</v>
      </c>
      <c r="I319" s="30">
        <v>8.9910639999999997</v>
      </c>
      <c r="J319" s="30">
        <v>1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0">
        <v>0</v>
      </c>
      <c r="AF319" s="30">
        <v>0</v>
      </c>
      <c r="AG319" s="30">
        <v>0</v>
      </c>
      <c r="AH319" s="30">
        <v>0</v>
      </c>
      <c r="AI319" s="30">
        <v>0</v>
      </c>
      <c r="AJ319" s="30">
        <v>0</v>
      </c>
      <c r="AK319" s="30">
        <v>0</v>
      </c>
      <c r="AL319" s="30">
        <v>0</v>
      </c>
      <c r="AM319" s="30">
        <v>0</v>
      </c>
      <c r="AN319" s="30">
        <v>0</v>
      </c>
      <c r="AO319" s="30">
        <v>0</v>
      </c>
      <c r="AP319" s="30">
        <v>0</v>
      </c>
      <c r="AQ319" s="30">
        <v>0</v>
      </c>
      <c r="AR319" s="30">
        <v>0</v>
      </c>
      <c r="AS319" s="30">
        <v>0</v>
      </c>
      <c r="AT319" s="30">
        <v>0</v>
      </c>
      <c r="AU319" s="30">
        <v>0</v>
      </c>
      <c r="AV319" s="30">
        <v>0</v>
      </c>
      <c r="AW319" s="30">
        <v>0</v>
      </c>
      <c r="AX319" s="30">
        <v>0</v>
      </c>
      <c r="AY319" s="30">
        <v>0</v>
      </c>
    </row>
    <row r="320" spans="1:51">
      <c r="A320" s="30" t="s">
        <v>619</v>
      </c>
      <c r="B320" s="30" t="s">
        <v>843</v>
      </c>
      <c r="C320" s="30">
        <v>5</v>
      </c>
      <c r="D320" s="30">
        <v>35</v>
      </c>
      <c r="E320" s="30">
        <v>164</v>
      </c>
      <c r="F320" s="30" t="s">
        <v>621</v>
      </c>
      <c r="G320" s="30" t="s">
        <v>648</v>
      </c>
      <c r="H320" s="30">
        <v>1.6094379999999999</v>
      </c>
      <c r="I320" s="30">
        <v>3.555348</v>
      </c>
      <c r="J320" s="30">
        <v>1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0">
        <v>0</v>
      </c>
      <c r="AF320" s="30">
        <v>0</v>
      </c>
      <c r="AG320" s="30">
        <v>0</v>
      </c>
      <c r="AH320" s="30">
        <v>0</v>
      </c>
      <c r="AI320" s="30">
        <v>0</v>
      </c>
      <c r="AJ320" s="30">
        <v>0</v>
      </c>
      <c r="AK320" s="30">
        <v>0</v>
      </c>
      <c r="AL320" s="30">
        <v>0</v>
      </c>
      <c r="AM320" s="30">
        <v>0</v>
      </c>
      <c r="AN320" s="30">
        <v>0</v>
      </c>
      <c r="AO320" s="30">
        <v>1</v>
      </c>
      <c r="AP320" s="30">
        <v>0</v>
      </c>
      <c r="AQ320" s="30">
        <v>0</v>
      </c>
      <c r="AR320" s="30">
        <v>0</v>
      </c>
      <c r="AS320" s="30">
        <v>0</v>
      </c>
      <c r="AT320" s="30">
        <v>0</v>
      </c>
      <c r="AU320" s="30">
        <v>0</v>
      </c>
      <c r="AV320" s="30">
        <v>0</v>
      </c>
      <c r="AW320" s="30">
        <v>0</v>
      </c>
      <c r="AX320" s="30">
        <v>0</v>
      </c>
      <c r="AY320" s="30">
        <v>0</v>
      </c>
    </row>
    <row r="321" spans="1:51">
      <c r="A321" s="30" t="s">
        <v>619</v>
      </c>
      <c r="B321" s="30" t="s">
        <v>844</v>
      </c>
      <c r="C321" s="30">
        <v>4</v>
      </c>
      <c r="D321" s="30">
        <v>12695</v>
      </c>
      <c r="E321" s="30">
        <v>50486.400000000001</v>
      </c>
      <c r="F321" s="30" t="s">
        <v>621</v>
      </c>
      <c r="G321" s="30" t="s">
        <v>638</v>
      </c>
      <c r="H321" s="30">
        <v>1.3862939999999999</v>
      </c>
      <c r="I321" s="30">
        <v>9.4489629999999991</v>
      </c>
      <c r="J321" s="30">
        <v>1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0">
        <v>0</v>
      </c>
      <c r="AF321" s="30">
        <v>0</v>
      </c>
      <c r="AG321" s="30">
        <v>0</v>
      </c>
      <c r="AH321" s="30">
        <v>0</v>
      </c>
      <c r="AI321" s="30">
        <v>0</v>
      </c>
      <c r="AJ321" s="30">
        <v>0</v>
      </c>
      <c r="AK321" s="30">
        <v>0</v>
      </c>
      <c r="AL321" s="30">
        <v>0</v>
      </c>
      <c r="AM321" s="30">
        <v>0</v>
      </c>
      <c r="AN321" s="30">
        <v>0</v>
      </c>
      <c r="AO321" s="30">
        <v>0</v>
      </c>
      <c r="AP321" s="30">
        <v>0</v>
      </c>
      <c r="AQ321" s="30">
        <v>0</v>
      </c>
      <c r="AR321" s="30">
        <v>0</v>
      </c>
      <c r="AS321" s="30">
        <v>0</v>
      </c>
      <c r="AT321" s="30">
        <v>0</v>
      </c>
      <c r="AU321" s="30">
        <v>0</v>
      </c>
      <c r="AV321" s="30">
        <v>0</v>
      </c>
      <c r="AW321" s="30">
        <v>0</v>
      </c>
      <c r="AX321" s="30">
        <v>0</v>
      </c>
      <c r="AY321" s="30">
        <v>0</v>
      </c>
    </row>
    <row r="322" spans="1:51">
      <c r="A322" s="30" t="s">
        <v>619</v>
      </c>
      <c r="B322" s="30" t="s">
        <v>845</v>
      </c>
      <c r="C322" s="30">
        <v>2</v>
      </c>
      <c r="D322" s="30">
        <v>727</v>
      </c>
      <c r="E322" s="30">
        <v>1454</v>
      </c>
      <c r="F322" s="30" t="s">
        <v>621</v>
      </c>
      <c r="G322" s="30" t="s">
        <v>648</v>
      </c>
      <c r="H322" s="30">
        <v>0.69314699999999996</v>
      </c>
      <c r="I322" s="30">
        <v>6.5889259999999998</v>
      </c>
      <c r="J322" s="30">
        <v>1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30">
        <v>0</v>
      </c>
      <c r="AG322" s="30">
        <v>0</v>
      </c>
      <c r="AH322" s="30">
        <v>0</v>
      </c>
      <c r="AI322" s="30">
        <v>0</v>
      </c>
      <c r="AJ322" s="30">
        <v>0</v>
      </c>
      <c r="AK322" s="30">
        <v>0</v>
      </c>
      <c r="AL322" s="30">
        <v>0</v>
      </c>
      <c r="AM322" s="30">
        <v>0</v>
      </c>
      <c r="AN322" s="30">
        <v>0</v>
      </c>
      <c r="AO322" s="30">
        <v>1</v>
      </c>
      <c r="AP322" s="30">
        <v>0</v>
      </c>
      <c r="AQ322" s="30">
        <v>0</v>
      </c>
      <c r="AR322" s="30">
        <v>0</v>
      </c>
      <c r="AS322" s="30">
        <v>0</v>
      </c>
      <c r="AT322" s="30">
        <v>0</v>
      </c>
      <c r="AU322" s="30">
        <v>0</v>
      </c>
      <c r="AV322" s="30">
        <v>0</v>
      </c>
      <c r="AW322" s="30">
        <v>0</v>
      </c>
      <c r="AX322" s="30">
        <v>0</v>
      </c>
      <c r="AY322" s="30">
        <v>0</v>
      </c>
    </row>
    <row r="323" spans="1:51">
      <c r="A323" s="30" t="s">
        <v>619</v>
      </c>
      <c r="B323" s="30" t="s">
        <v>846</v>
      </c>
      <c r="C323" s="30">
        <v>2</v>
      </c>
      <c r="D323" s="30">
        <v>1212</v>
      </c>
      <c r="E323" s="30">
        <v>2424</v>
      </c>
      <c r="F323" s="30" t="s">
        <v>621</v>
      </c>
      <c r="G323" s="30" t="s">
        <v>648</v>
      </c>
      <c r="H323" s="30">
        <v>0.69314699999999996</v>
      </c>
      <c r="I323" s="30">
        <v>7.1000269999999999</v>
      </c>
      <c r="J323" s="30">
        <v>1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30">
        <v>0</v>
      </c>
      <c r="AG323" s="30">
        <v>0</v>
      </c>
      <c r="AH323" s="30">
        <v>0</v>
      </c>
      <c r="AI323" s="30">
        <v>0</v>
      </c>
      <c r="AJ323" s="30">
        <v>0</v>
      </c>
      <c r="AK323" s="30">
        <v>0</v>
      </c>
      <c r="AL323" s="30">
        <v>0</v>
      </c>
      <c r="AM323" s="30">
        <v>0</v>
      </c>
      <c r="AN323" s="30">
        <v>0</v>
      </c>
      <c r="AO323" s="30">
        <v>1</v>
      </c>
      <c r="AP323" s="30">
        <v>0</v>
      </c>
      <c r="AQ323" s="30">
        <v>0</v>
      </c>
      <c r="AR323" s="30">
        <v>0</v>
      </c>
      <c r="AS323" s="30">
        <v>0</v>
      </c>
      <c r="AT323" s="30">
        <v>0</v>
      </c>
      <c r="AU323" s="30">
        <v>0</v>
      </c>
      <c r="AV323" s="30">
        <v>0</v>
      </c>
      <c r="AW323" s="30">
        <v>0</v>
      </c>
      <c r="AX323" s="30">
        <v>0</v>
      </c>
      <c r="AY323" s="30">
        <v>0</v>
      </c>
    </row>
    <row r="324" spans="1:51">
      <c r="A324" s="30" t="s">
        <v>619</v>
      </c>
      <c r="B324" s="30" t="s">
        <v>847</v>
      </c>
      <c r="C324" s="30">
        <v>1</v>
      </c>
      <c r="D324" s="30">
        <v>694</v>
      </c>
      <c r="E324" s="30">
        <v>691.65</v>
      </c>
      <c r="F324" s="30" t="s">
        <v>626</v>
      </c>
      <c r="G324" s="30" t="s">
        <v>627</v>
      </c>
      <c r="H324" s="30">
        <v>0</v>
      </c>
      <c r="I324" s="30">
        <v>6.5424720000000001</v>
      </c>
      <c r="J324" s="30">
        <v>1</v>
      </c>
      <c r="K324" s="30">
        <v>0</v>
      </c>
      <c r="L324" s="30">
        <v>0</v>
      </c>
      <c r="M324" s="30">
        <v>1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30">
        <v>0</v>
      </c>
      <c r="AG324" s="30">
        <v>0</v>
      </c>
      <c r="AH324" s="30">
        <v>0</v>
      </c>
      <c r="AI324" s="30">
        <v>0</v>
      </c>
      <c r="AJ324" s="30">
        <v>1</v>
      </c>
      <c r="AK324" s="30">
        <v>0</v>
      </c>
      <c r="AL324" s="30">
        <v>0</v>
      </c>
      <c r="AM324" s="30">
        <v>0</v>
      </c>
      <c r="AN324" s="30">
        <v>0</v>
      </c>
      <c r="AO324" s="30">
        <v>0</v>
      </c>
      <c r="AP324" s="30">
        <v>0</v>
      </c>
      <c r="AQ324" s="30">
        <v>0</v>
      </c>
      <c r="AR324" s="30">
        <v>0</v>
      </c>
      <c r="AS324" s="30">
        <v>0</v>
      </c>
      <c r="AT324" s="30">
        <v>0</v>
      </c>
      <c r="AU324" s="30">
        <v>0</v>
      </c>
      <c r="AV324" s="30">
        <v>0</v>
      </c>
      <c r="AW324" s="30">
        <v>0</v>
      </c>
      <c r="AX324" s="30">
        <v>0</v>
      </c>
      <c r="AY324" s="30">
        <v>0</v>
      </c>
    </row>
    <row r="325" spans="1:51">
      <c r="A325" s="30" t="s">
        <v>619</v>
      </c>
      <c r="B325" s="30" t="s">
        <v>848</v>
      </c>
      <c r="C325" s="30">
        <v>1.5</v>
      </c>
      <c r="D325" s="30">
        <v>25</v>
      </c>
      <c r="E325" s="30">
        <v>37.5</v>
      </c>
      <c r="F325" s="30" t="s">
        <v>626</v>
      </c>
      <c r="G325" s="30" t="s">
        <v>627</v>
      </c>
      <c r="H325" s="30">
        <v>0.40546500000000002</v>
      </c>
      <c r="I325" s="30">
        <v>3.2188759999999998</v>
      </c>
      <c r="J325" s="30">
        <v>1</v>
      </c>
      <c r="K325" s="30">
        <v>0</v>
      </c>
      <c r="L325" s="30">
        <v>0</v>
      </c>
      <c r="M325" s="30">
        <v>1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  <c r="AE325" s="30">
        <v>0</v>
      </c>
      <c r="AF325" s="30">
        <v>0</v>
      </c>
      <c r="AG325" s="30">
        <v>0</v>
      </c>
      <c r="AH325" s="30">
        <v>0</v>
      </c>
      <c r="AI325" s="30">
        <v>0</v>
      </c>
      <c r="AJ325" s="30">
        <v>1</v>
      </c>
      <c r="AK325" s="30">
        <v>0</v>
      </c>
      <c r="AL325" s="30">
        <v>0</v>
      </c>
      <c r="AM325" s="30">
        <v>0</v>
      </c>
      <c r="AN325" s="30">
        <v>0</v>
      </c>
      <c r="AO325" s="30">
        <v>0</v>
      </c>
      <c r="AP325" s="30">
        <v>0</v>
      </c>
      <c r="AQ325" s="30">
        <v>0</v>
      </c>
      <c r="AR325" s="30">
        <v>0</v>
      </c>
      <c r="AS325" s="30">
        <v>0</v>
      </c>
      <c r="AT325" s="30">
        <v>0</v>
      </c>
      <c r="AU325" s="30">
        <v>0</v>
      </c>
      <c r="AV325" s="30">
        <v>0</v>
      </c>
      <c r="AW325" s="30">
        <v>0</v>
      </c>
      <c r="AX325" s="30">
        <v>0</v>
      </c>
      <c r="AY325" s="30">
        <v>0</v>
      </c>
    </row>
    <row r="326" spans="1:51">
      <c r="A326" s="30" t="s">
        <v>619</v>
      </c>
      <c r="B326" s="30" t="s">
        <v>849</v>
      </c>
      <c r="C326" s="30">
        <v>3</v>
      </c>
      <c r="D326" s="30">
        <v>115</v>
      </c>
      <c r="E326" s="30">
        <v>345</v>
      </c>
      <c r="F326" s="30" t="s">
        <v>621</v>
      </c>
      <c r="G326" s="30" t="s">
        <v>638</v>
      </c>
      <c r="H326" s="30">
        <v>1.0986119999999999</v>
      </c>
      <c r="I326" s="30">
        <v>4.7449320000000004</v>
      </c>
      <c r="J326" s="30">
        <v>1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30">
        <v>0</v>
      </c>
      <c r="AG326" s="30">
        <v>0</v>
      </c>
      <c r="AH326" s="30">
        <v>0</v>
      </c>
      <c r="AI326" s="30">
        <v>0</v>
      </c>
      <c r="AJ326" s="30">
        <v>0</v>
      </c>
      <c r="AK326" s="30">
        <v>0</v>
      </c>
      <c r="AL326" s="30">
        <v>0</v>
      </c>
      <c r="AM326" s="30">
        <v>0</v>
      </c>
      <c r="AN326" s="30">
        <v>0</v>
      </c>
      <c r="AO326" s="30">
        <v>0</v>
      </c>
      <c r="AP326" s="30">
        <v>0</v>
      </c>
      <c r="AQ326" s="30">
        <v>0</v>
      </c>
      <c r="AR326" s="30">
        <v>0</v>
      </c>
      <c r="AS326" s="30">
        <v>0</v>
      </c>
      <c r="AT326" s="30">
        <v>0</v>
      </c>
      <c r="AU326" s="30">
        <v>0</v>
      </c>
      <c r="AV326" s="30">
        <v>0</v>
      </c>
      <c r="AW326" s="30">
        <v>0</v>
      </c>
      <c r="AX326" s="30">
        <v>0</v>
      </c>
      <c r="AY326" s="30">
        <v>0</v>
      </c>
    </row>
    <row r="327" spans="1:51">
      <c r="A327" s="30" t="s">
        <v>619</v>
      </c>
      <c r="B327" s="30" t="s">
        <v>850</v>
      </c>
      <c r="C327" s="30">
        <v>2</v>
      </c>
      <c r="D327" s="30">
        <v>130</v>
      </c>
      <c r="E327" s="30">
        <v>260</v>
      </c>
      <c r="F327" s="30" t="s">
        <v>621</v>
      </c>
      <c r="G327" s="30" t="s">
        <v>638</v>
      </c>
      <c r="H327" s="30">
        <v>0.69314699999999996</v>
      </c>
      <c r="I327" s="30">
        <v>4.867534</v>
      </c>
      <c r="J327" s="30">
        <v>1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30">
        <v>0</v>
      </c>
      <c r="AG327" s="30">
        <v>0</v>
      </c>
      <c r="AH327" s="30">
        <v>0</v>
      </c>
      <c r="AI327" s="30">
        <v>0</v>
      </c>
      <c r="AJ327" s="30">
        <v>0</v>
      </c>
      <c r="AK327" s="30">
        <v>0</v>
      </c>
      <c r="AL327" s="30">
        <v>0</v>
      </c>
      <c r="AM327" s="30">
        <v>0</v>
      </c>
      <c r="AN327" s="30">
        <v>0</v>
      </c>
      <c r="AO327" s="30">
        <v>0</v>
      </c>
      <c r="AP327" s="30">
        <v>0</v>
      </c>
      <c r="AQ327" s="30">
        <v>0</v>
      </c>
      <c r="AR327" s="30">
        <v>0</v>
      </c>
      <c r="AS327" s="30">
        <v>0</v>
      </c>
      <c r="AT327" s="30">
        <v>0</v>
      </c>
      <c r="AU327" s="30">
        <v>0</v>
      </c>
      <c r="AV327" s="30">
        <v>0</v>
      </c>
      <c r="AW327" s="30">
        <v>0</v>
      </c>
      <c r="AX327" s="30">
        <v>0</v>
      </c>
      <c r="AY327" s="30">
        <v>0</v>
      </c>
    </row>
    <row r="328" spans="1:51">
      <c r="A328" s="30" t="s">
        <v>619</v>
      </c>
      <c r="B328" s="30" t="s">
        <v>851</v>
      </c>
      <c r="C328" s="30">
        <v>4</v>
      </c>
      <c r="D328" s="30">
        <v>154</v>
      </c>
      <c r="E328" s="30">
        <v>616</v>
      </c>
      <c r="F328" s="30" t="s">
        <v>621</v>
      </c>
      <c r="G328" s="30" t="s">
        <v>648</v>
      </c>
      <c r="H328" s="30">
        <v>1.3862939999999999</v>
      </c>
      <c r="I328" s="30">
        <v>5.0369529999999996</v>
      </c>
      <c r="J328" s="30">
        <v>1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30">
        <v>0</v>
      </c>
      <c r="AG328" s="30">
        <v>0</v>
      </c>
      <c r="AH328" s="30">
        <v>0</v>
      </c>
      <c r="AI328" s="30">
        <v>0</v>
      </c>
      <c r="AJ328" s="30">
        <v>0</v>
      </c>
      <c r="AK328" s="30">
        <v>0</v>
      </c>
      <c r="AL328" s="30">
        <v>0</v>
      </c>
      <c r="AM328" s="30">
        <v>0</v>
      </c>
      <c r="AN328" s="30">
        <v>0</v>
      </c>
      <c r="AO328" s="30">
        <v>1</v>
      </c>
      <c r="AP328" s="30">
        <v>0</v>
      </c>
      <c r="AQ328" s="30">
        <v>0</v>
      </c>
      <c r="AR328" s="30">
        <v>0</v>
      </c>
      <c r="AS328" s="30">
        <v>0</v>
      </c>
      <c r="AT328" s="30">
        <v>0</v>
      </c>
      <c r="AU328" s="30">
        <v>0</v>
      </c>
      <c r="AV328" s="30">
        <v>0</v>
      </c>
      <c r="AW328" s="30">
        <v>0</v>
      </c>
      <c r="AX328" s="30">
        <v>0</v>
      </c>
      <c r="AY328" s="30">
        <v>0</v>
      </c>
    </row>
    <row r="329" spans="1:51">
      <c r="A329" s="30" t="s">
        <v>619</v>
      </c>
      <c r="B329" s="30" t="s">
        <v>852</v>
      </c>
      <c r="C329" s="30">
        <v>3</v>
      </c>
      <c r="D329" s="30">
        <v>237</v>
      </c>
      <c r="E329" s="30">
        <v>711</v>
      </c>
      <c r="F329" s="30" t="s">
        <v>621</v>
      </c>
      <c r="G329" s="30" t="s">
        <v>624</v>
      </c>
      <c r="H329" s="30">
        <v>1.0986119999999999</v>
      </c>
      <c r="I329" s="30">
        <v>5.4680600000000004</v>
      </c>
      <c r="J329" s="30">
        <v>1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30">
        <v>0</v>
      </c>
      <c r="AG329" s="30">
        <v>0</v>
      </c>
      <c r="AH329" s="30">
        <v>0</v>
      </c>
      <c r="AI329" s="30">
        <v>0</v>
      </c>
      <c r="AJ329" s="30">
        <v>0</v>
      </c>
      <c r="AK329" s="30">
        <v>0</v>
      </c>
      <c r="AL329" s="30">
        <v>1</v>
      </c>
      <c r="AM329" s="30">
        <v>0</v>
      </c>
      <c r="AN329" s="30">
        <v>0</v>
      </c>
      <c r="AO329" s="30">
        <v>0</v>
      </c>
      <c r="AP329" s="30">
        <v>0</v>
      </c>
      <c r="AQ329" s="30">
        <v>0</v>
      </c>
      <c r="AR329" s="30">
        <v>0</v>
      </c>
      <c r="AS329" s="30">
        <v>0</v>
      </c>
      <c r="AT329" s="30">
        <v>0</v>
      </c>
      <c r="AU329" s="30">
        <v>0</v>
      </c>
      <c r="AV329" s="30">
        <v>0</v>
      </c>
      <c r="AW329" s="30">
        <v>0</v>
      </c>
      <c r="AX329" s="30">
        <v>0</v>
      </c>
      <c r="AY329" s="30">
        <v>0</v>
      </c>
    </row>
    <row r="330" spans="1:51">
      <c r="A330" s="30" t="s">
        <v>619</v>
      </c>
      <c r="B330" s="30" t="s">
        <v>853</v>
      </c>
      <c r="C330" s="30">
        <v>3</v>
      </c>
      <c r="D330" s="30">
        <v>123</v>
      </c>
      <c r="E330" s="30">
        <v>369</v>
      </c>
      <c r="F330" s="30" t="s">
        <v>621</v>
      </c>
      <c r="G330" s="30" t="s">
        <v>648</v>
      </c>
      <c r="H330" s="30">
        <v>1.0986119999999999</v>
      </c>
      <c r="I330" s="30">
        <v>4.8121840000000002</v>
      </c>
      <c r="J330" s="30">
        <v>1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30">
        <v>0</v>
      </c>
      <c r="AG330" s="30">
        <v>0</v>
      </c>
      <c r="AH330" s="30">
        <v>0</v>
      </c>
      <c r="AI330" s="30">
        <v>0</v>
      </c>
      <c r="AJ330" s="30">
        <v>0</v>
      </c>
      <c r="AK330" s="30">
        <v>0</v>
      </c>
      <c r="AL330" s="30">
        <v>0</v>
      </c>
      <c r="AM330" s="30">
        <v>0</v>
      </c>
      <c r="AN330" s="30">
        <v>0</v>
      </c>
      <c r="AO330" s="30">
        <v>1</v>
      </c>
      <c r="AP330" s="30">
        <v>0</v>
      </c>
      <c r="AQ330" s="30">
        <v>0</v>
      </c>
      <c r="AR330" s="30">
        <v>0</v>
      </c>
      <c r="AS330" s="30">
        <v>0</v>
      </c>
      <c r="AT330" s="30">
        <v>0</v>
      </c>
      <c r="AU330" s="30">
        <v>0</v>
      </c>
      <c r="AV330" s="30">
        <v>0</v>
      </c>
      <c r="AW330" s="30">
        <v>0</v>
      </c>
      <c r="AX330" s="30">
        <v>0</v>
      </c>
      <c r="AY330" s="30">
        <v>0</v>
      </c>
    </row>
    <row r="331" spans="1:51">
      <c r="A331" s="30" t="s">
        <v>619</v>
      </c>
      <c r="B331" s="30" t="s">
        <v>854</v>
      </c>
      <c r="C331" s="30">
        <v>3</v>
      </c>
      <c r="D331" s="30">
        <v>54</v>
      </c>
      <c r="E331" s="30">
        <v>162</v>
      </c>
      <c r="F331" s="30" t="s">
        <v>621</v>
      </c>
      <c r="G331" s="30" t="s">
        <v>624</v>
      </c>
      <c r="H331" s="30">
        <v>1.0986119999999999</v>
      </c>
      <c r="I331" s="30">
        <v>3.9889839999999999</v>
      </c>
      <c r="J331" s="30">
        <v>1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30">
        <v>0</v>
      </c>
      <c r="AG331" s="30">
        <v>0</v>
      </c>
      <c r="AH331" s="30">
        <v>0</v>
      </c>
      <c r="AI331" s="30">
        <v>0</v>
      </c>
      <c r="AJ331" s="30">
        <v>0</v>
      </c>
      <c r="AK331" s="30">
        <v>0</v>
      </c>
      <c r="AL331" s="30">
        <v>1</v>
      </c>
      <c r="AM331" s="30">
        <v>0</v>
      </c>
      <c r="AN331" s="30">
        <v>0</v>
      </c>
      <c r="AO331" s="30">
        <v>0</v>
      </c>
      <c r="AP331" s="30">
        <v>0</v>
      </c>
      <c r="AQ331" s="30">
        <v>0</v>
      </c>
      <c r="AR331" s="30">
        <v>0</v>
      </c>
      <c r="AS331" s="30">
        <v>0</v>
      </c>
      <c r="AT331" s="30">
        <v>0</v>
      </c>
      <c r="AU331" s="30">
        <v>0</v>
      </c>
      <c r="AV331" s="30">
        <v>0</v>
      </c>
      <c r="AW331" s="30">
        <v>0</v>
      </c>
      <c r="AX331" s="30">
        <v>0</v>
      </c>
      <c r="AY331" s="30">
        <v>0</v>
      </c>
    </row>
    <row r="332" spans="1:51">
      <c r="A332" s="30" t="s">
        <v>619</v>
      </c>
      <c r="B332" s="30" t="s">
        <v>855</v>
      </c>
      <c r="C332" s="30">
        <v>3</v>
      </c>
      <c r="D332" s="30">
        <v>50</v>
      </c>
      <c r="E332" s="30">
        <v>150</v>
      </c>
      <c r="F332" s="30" t="s">
        <v>621</v>
      </c>
      <c r="G332" s="30" t="s">
        <v>624</v>
      </c>
      <c r="H332" s="30">
        <v>1.0986119999999999</v>
      </c>
      <c r="I332" s="30">
        <v>3.912023</v>
      </c>
      <c r="J332" s="30">
        <v>1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0">
        <v>0</v>
      </c>
      <c r="AF332" s="30">
        <v>0</v>
      </c>
      <c r="AG332" s="30">
        <v>0</v>
      </c>
      <c r="AH332" s="30">
        <v>0</v>
      </c>
      <c r="AI332" s="30">
        <v>0</v>
      </c>
      <c r="AJ332" s="30">
        <v>0</v>
      </c>
      <c r="AK332" s="30">
        <v>0</v>
      </c>
      <c r="AL332" s="30">
        <v>1</v>
      </c>
      <c r="AM332" s="30">
        <v>0</v>
      </c>
      <c r="AN332" s="30">
        <v>0</v>
      </c>
      <c r="AO332" s="30">
        <v>0</v>
      </c>
      <c r="AP332" s="30">
        <v>0</v>
      </c>
      <c r="AQ332" s="30">
        <v>0</v>
      </c>
      <c r="AR332" s="30">
        <v>0</v>
      </c>
      <c r="AS332" s="30">
        <v>0</v>
      </c>
      <c r="AT332" s="30">
        <v>0</v>
      </c>
      <c r="AU332" s="30">
        <v>0</v>
      </c>
      <c r="AV332" s="30">
        <v>0</v>
      </c>
      <c r="AW332" s="30">
        <v>0</v>
      </c>
      <c r="AX332" s="30">
        <v>0</v>
      </c>
      <c r="AY332" s="30">
        <v>0</v>
      </c>
    </row>
    <row r="333" spans="1:51">
      <c r="A333" s="30" t="s">
        <v>619</v>
      </c>
      <c r="B333" s="30" t="s">
        <v>856</v>
      </c>
      <c r="C333" s="30">
        <v>1</v>
      </c>
      <c r="D333" s="30">
        <v>190</v>
      </c>
      <c r="E333" s="30">
        <v>190</v>
      </c>
      <c r="F333" s="30" t="s">
        <v>621</v>
      </c>
      <c r="G333" s="30" t="s">
        <v>648</v>
      </c>
      <c r="H333" s="30">
        <v>0</v>
      </c>
      <c r="I333" s="30">
        <v>5.2470239999999997</v>
      </c>
      <c r="J333" s="30">
        <v>1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0">
        <v>0</v>
      </c>
      <c r="AF333" s="30">
        <v>0</v>
      </c>
      <c r="AG333" s="30">
        <v>0</v>
      </c>
      <c r="AH333" s="30">
        <v>0</v>
      </c>
      <c r="AI333" s="30">
        <v>0</v>
      </c>
      <c r="AJ333" s="30">
        <v>0</v>
      </c>
      <c r="AK333" s="30">
        <v>0</v>
      </c>
      <c r="AL333" s="30">
        <v>0</v>
      </c>
      <c r="AM333" s="30">
        <v>0</v>
      </c>
      <c r="AN333" s="30">
        <v>0</v>
      </c>
      <c r="AO333" s="30">
        <v>1</v>
      </c>
      <c r="AP333" s="30">
        <v>0</v>
      </c>
      <c r="AQ333" s="30">
        <v>0</v>
      </c>
      <c r="AR333" s="30">
        <v>0</v>
      </c>
      <c r="AS333" s="30">
        <v>0</v>
      </c>
      <c r="AT333" s="30">
        <v>0</v>
      </c>
      <c r="AU333" s="30">
        <v>0</v>
      </c>
      <c r="AV333" s="30">
        <v>0</v>
      </c>
      <c r="AW333" s="30">
        <v>0</v>
      </c>
      <c r="AX333" s="30">
        <v>0</v>
      </c>
      <c r="AY333" s="30">
        <v>0</v>
      </c>
    </row>
    <row r="334" spans="1:51">
      <c r="A334" s="30" t="s">
        <v>619</v>
      </c>
      <c r="B334" s="30" t="s">
        <v>857</v>
      </c>
      <c r="C334" s="30">
        <v>3</v>
      </c>
      <c r="D334" s="30">
        <v>87</v>
      </c>
      <c r="E334" s="30">
        <v>261</v>
      </c>
      <c r="F334" s="30" t="s">
        <v>621</v>
      </c>
      <c r="G334" s="30" t="s">
        <v>648</v>
      </c>
      <c r="H334" s="30">
        <v>1.0986119999999999</v>
      </c>
      <c r="I334" s="30">
        <v>4.4659079999999998</v>
      </c>
      <c r="J334" s="30">
        <v>1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0">
        <v>0</v>
      </c>
      <c r="AF334" s="30">
        <v>0</v>
      </c>
      <c r="AG334" s="30">
        <v>0</v>
      </c>
      <c r="AH334" s="30">
        <v>0</v>
      </c>
      <c r="AI334" s="30">
        <v>0</v>
      </c>
      <c r="AJ334" s="30">
        <v>0</v>
      </c>
      <c r="AK334" s="30">
        <v>0</v>
      </c>
      <c r="AL334" s="30">
        <v>0</v>
      </c>
      <c r="AM334" s="30">
        <v>0</v>
      </c>
      <c r="AN334" s="30">
        <v>0</v>
      </c>
      <c r="AO334" s="30">
        <v>1</v>
      </c>
      <c r="AP334" s="30">
        <v>0</v>
      </c>
      <c r="AQ334" s="30">
        <v>0</v>
      </c>
      <c r="AR334" s="30">
        <v>0</v>
      </c>
      <c r="AS334" s="30">
        <v>0</v>
      </c>
      <c r="AT334" s="30">
        <v>0</v>
      </c>
      <c r="AU334" s="30">
        <v>0</v>
      </c>
      <c r="AV334" s="30">
        <v>0</v>
      </c>
      <c r="AW334" s="30">
        <v>0</v>
      </c>
      <c r="AX334" s="30">
        <v>0</v>
      </c>
      <c r="AY334" s="30">
        <v>0</v>
      </c>
    </row>
    <row r="335" spans="1:51">
      <c r="A335" s="30" t="s">
        <v>619</v>
      </c>
      <c r="B335" s="30" t="s">
        <v>858</v>
      </c>
      <c r="C335" s="30">
        <v>3</v>
      </c>
      <c r="D335" s="30">
        <v>122</v>
      </c>
      <c r="E335" s="30">
        <v>366</v>
      </c>
      <c r="F335" s="30" t="s">
        <v>621</v>
      </c>
      <c r="G335" s="30" t="s">
        <v>624</v>
      </c>
      <c r="H335" s="30">
        <v>1.0986119999999999</v>
      </c>
      <c r="I335" s="30">
        <v>4.8040209999999997</v>
      </c>
      <c r="J335" s="30">
        <v>1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30">
        <v>0</v>
      </c>
      <c r="AG335" s="30">
        <v>0</v>
      </c>
      <c r="AH335" s="30">
        <v>0</v>
      </c>
      <c r="AI335" s="30">
        <v>0</v>
      </c>
      <c r="AJ335" s="30">
        <v>0</v>
      </c>
      <c r="AK335" s="30">
        <v>0</v>
      </c>
      <c r="AL335" s="30">
        <v>1</v>
      </c>
      <c r="AM335" s="30">
        <v>0</v>
      </c>
      <c r="AN335" s="30">
        <v>0</v>
      </c>
      <c r="AO335" s="30">
        <v>0</v>
      </c>
      <c r="AP335" s="30">
        <v>0</v>
      </c>
      <c r="AQ335" s="30">
        <v>0</v>
      </c>
      <c r="AR335" s="30">
        <v>0</v>
      </c>
      <c r="AS335" s="30">
        <v>0</v>
      </c>
      <c r="AT335" s="30">
        <v>0</v>
      </c>
      <c r="AU335" s="30">
        <v>0</v>
      </c>
      <c r="AV335" s="30">
        <v>0</v>
      </c>
      <c r="AW335" s="30">
        <v>0</v>
      </c>
      <c r="AX335" s="30">
        <v>0</v>
      </c>
      <c r="AY335" s="30">
        <v>0</v>
      </c>
    </row>
    <row r="336" spans="1:51">
      <c r="A336" s="30" t="s">
        <v>619</v>
      </c>
      <c r="B336" s="30" t="s">
        <v>859</v>
      </c>
      <c r="C336" s="30">
        <v>3</v>
      </c>
      <c r="D336" s="30">
        <v>759</v>
      </c>
      <c r="E336" s="30">
        <v>2273.85</v>
      </c>
      <c r="F336" s="30" t="s">
        <v>621</v>
      </c>
      <c r="G336" s="30" t="s">
        <v>698</v>
      </c>
      <c r="H336" s="30">
        <v>1.0986119999999999</v>
      </c>
      <c r="I336" s="30">
        <v>6.632002</v>
      </c>
      <c r="J336" s="30">
        <v>1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30">
        <v>0</v>
      </c>
      <c r="AG336" s="30">
        <v>0</v>
      </c>
      <c r="AH336" s="30">
        <v>0</v>
      </c>
      <c r="AI336" s="30">
        <v>0</v>
      </c>
      <c r="AJ336" s="30">
        <v>0</v>
      </c>
      <c r="AK336" s="30">
        <v>0</v>
      </c>
      <c r="AL336" s="30">
        <v>0</v>
      </c>
      <c r="AM336" s="30">
        <v>0</v>
      </c>
      <c r="AN336" s="30">
        <v>0</v>
      </c>
      <c r="AO336" s="30">
        <v>0</v>
      </c>
      <c r="AP336" s="30">
        <v>0</v>
      </c>
      <c r="AQ336" s="30">
        <v>0</v>
      </c>
      <c r="AR336" s="30">
        <v>0</v>
      </c>
      <c r="AS336" s="30">
        <v>0</v>
      </c>
      <c r="AT336" s="30">
        <v>0</v>
      </c>
      <c r="AU336" s="30">
        <v>0</v>
      </c>
      <c r="AV336" s="30">
        <v>1</v>
      </c>
      <c r="AW336" s="30">
        <v>0</v>
      </c>
      <c r="AX336" s="30">
        <v>0</v>
      </c>
      <c r="AY336" s="30">
        <v>0</v>
      </c>
    </row>
    <row r="337" spans="1:51">
      <c r="A337" s="30" t="s">
        <v>619</v>
      </c>
      <c r="B337" s="30" t="s">
        <v>860</v>
      </c>
      <c r="C337" s="30">
        <v>5</v>
      </c>
      <c r="D337" s="30">
        <v>465</v>
      </c>
      <c r="E337" s="30">
        <v>1503</v>
      </c>
      <c r="F337" s="30" t="s">
        <v>621</v>
      </c>
      <c r="G337" s="30" t="s">
        <v>648</v>
      </c>
      <c r="H337" s="30">
        <v>1.6094379999999999</v>
      </c>
      <c r="I337" s="30">
        <v>6.1420370000000002</v>
      </c>
      <c r="J337" s="30">
        <v>1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30">
        <v>0</v>
      </c>
      <c r="AG337" s="30">
        <v>0</v>
      </c>
      <c r="AH337" s="30">
        <v>0</v>
      </c>
      <c r="AI337" s="30">
        <v>0</v>
      </c>
      <c r="AJ337" s="30">
        <v>0</v>
      </c>
      <c r="AK337" s="30">
        <v>0</v>
      </c>
      <c r="AL337" s="30">
        <v>0</v>
      </c>
      <c r="AM337" s="30">
        <v>0</v>
      </c>
      <c r="AN337" s="30">
        <v>0</v>
      </c>
      <c r="AO337" s="30">
        <v>1</v>
      </c>
      <c r="AP337" s="30">
        <v>0</v>
      </c>
      <c r="AQ337" s="30">
        <v>0</v>
      </c>
      <c r="AR337" s="30">
        <v>0</v>
      </c>
      <c r="AS337" s="30">
        <v>0</v>
      </c>
      <c r="AT337" s="30">
        <v>0</v>
      </c>
      <c r="AU337" s="30">
        <v>0</v>
      </c>
      <c r="AV337" s="30">
        <v>0</v>
      </c>
      <c r="AW337" s="30">
        <v>0</v>
      </c>
      <c r="AX337" s="30">
        <v>0</v>
      </c>
      <c r="AY337" s="30">
        <v>0</v>
      </c>
    </row>
    <row r="338" spans="1:51">
      <c r="A338" s="30" t="s">
        <v>619</v>
      </c>
      <c r="B338" s="30" t="s">
        <v>861</v>
      </c>
      <c r="C338" s="30">
        <v>4</v>
      </c>
      <c r="D338" s="30">
        <v>868</v>
      </c>
      <c r="E338" s="30">
        <v>3468.4</v>
      </c>
      <c r="F338" s="30" t="s">
        <v>621</v>
      </c>
      <c r="G338" s="30" t="s">
        <v>638</v>
      </c>
      <c r="H338" s="30">
        <v>1.3862939999999999</v>
      </c>
      <c r="I338" s="30">
        <v>6.7661920000000002</v>
      </c>
      <c r="J338" s="30">
        <v>1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30">
        <v>0</v>
      </c>
      <c r="AG338" s="30">
        <v>0</v>
      </c>
      <c r="AH338" s="30">
        <v>0</v>
      </c>
      <c r="AI338" s="30">
        <v>0</v>
      </c>
      <c r="AJ338" s="30">
        <v>0</v>
      </c>
      <c r="AK338" s="30">
        <v>0</v>
      </c>
      <c r="AL338" s="30">
        <v>0</v>
      </c>
      <c r="AM338" s="30">
        <v>0</v>
      </c>
      <c r="AN338" s="30">
        <v>0</v>
      </c>
      <c r="AO338" s="30">
        <v>0</v>
      </c>
      <c r="AP338" s="30">
        <v>0</v>
      </c>
      <c r="AQ338" s="30">
        <v>0</v>
      </c>
      <c r="AR338" s="30">
        <v>0</v>
      </c>
      <c r="AS338" s="30">
        <v>0</v>
      </c>
      <c r="AT338" s="30">
        <v>0</v>
      </c>
      <c r="AU338" s="30">
        <v>0</v>
      </c>
      <c r="AV338" s="30">
        <v>0</v>
      </c>
      <c r="AW338" s="30">
        <v>0</v>
      </c>
      <c r="AX338" s="30">
        <v>0</v>
      </c>
      <c r="AY338" s="30">
        <v>0</v>
      </c>
    </row>
    <row r="339" spans="1:51">
      <c r="A339" s="30" t="s">
        <v>619</v>
      </c>
      <c r="B339" s="30" t="s">
        <v>862</v>
      </c>
      <c r="C339" s="30">
        <v>5</v>
      </c>
      <c r="D339" s="30">
        <v>99</v>
      </c>
      <c r="E339" s="30">
        <v>494</v>
      </c>
      <c r="F339" s="30" t="s">
        <v>621</v>
      </c>
      <c r="G339" s="30" t="s">
        <v>648</v>
      </c>
      <c r="H339" s="30">
        <v>1.6094379999999999</v>
      </c>
      <c r="I339" s="30">
        <v>4.5951199999999996</v>
      </c>
      <c r="J339" s="30">
        <v>1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30">
        <v>0</v>
      </c>
      <c r="AG339" s="30">
        <v>0</v>
      </c>
      <c r="AH339" s="30">
        <v>0</v>
      </c>
      <c r="AI339" s="30">
        <v>0</v>
      </c>
      <c r="AJ339" s="30">
        <v>0</v>
      </c>
      <c r="AK339" s="30">
        <v>0</v>
      </c>
      <c r="AL339" s="30">
        <v>0</v>
      </c>
      <c r="AM339" s="30">
        <v>0</v>
      </c>
      <c r="AN339" s="30">
        <v>0</v>
      </c>
      <c r="AO339" s="30">
        <v>1</v>
      </c>
      <c r="AP339" s="30">
        <v>0</v>
      </c>
      <c r="AQ339" s="30">
        <v>0</v>
      </c>
      <c r="AR339" s="30">
        <v>0</v>
      </c>
      <c r="AS339" s="30">
        <v>0</v>
      </c>
      <c r="AT339" s="30">
        <v>0</v>
      </c>
      <c r="AU339" s="30">
        <v>0</v>
      </c>
      <c r="AV339" s="30">
        <v>0</v>
      </c>
      <c r="AW339" s="30">
        <v>0</v>
      </c>
      <c r="AX339" s="30">
        <v>0</v>
      </c>
      <c r="AY339" s="30">
        <v>0</v>
      </c>
    </row>
    <row r="340" spans="1:51">
      <c r="A340" s="30" t="s">
        <v>619</v>
      </c>
      <c r="B340" s="30" t="s">
        <v>863</v>
      </c>
      <c r="C340" s="30">
        <v>5</v>
      </c>
      <c r="D340" s="30">
        <v>231</v>
      </c>
      <c r="E340" s="30">
        <v>1154.25</v>
      </c>
      <c r="F340" s="30" t="s">
        <v>621</v>
      </c>
      <c r="G340" s="30" t="s">
        <v>648</v>
      </c>
      <c r="H340" s="30">
        <v>1.6094379999999999</v>
      </c>
      <c r="I340" s="30">
        <v>5.442418</v>
      </c>
      <c r="J340" s="30">
        <v>1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0">
        <v>0</v>
      </c>
      <c r="AF340" s="30">
        <v>0</v>
      </c>
      <c r="AG340" s="30">
        <v>0</v>
      </c>
      <c r="AH340" s="30">
        <v>0</v>
      </c>
      <c r="AI340" s="30">
        <v>0</v>
      </c>
      <c r="AJ340" s="30">
        <v>0</v>
      </c>
      <c r="AK340" s="30">
        <v>0</v>
      </c>
      <c r="AL340" s="30">
        <v>0</v>
      </c>
      <c r="AM340" s="30">
        <v>0</v>
      </c>
      <c r="AN340" s="30">
        <v>0</v>
      </c>
      <c r="AO340" s="30">
        <v>1</v>
      </c>
      <c r="AP340" s="30">
        <v>0</v>
      </c>
      <c r="AQ340" s="30">
        <v>0</v>
      </c>
      <c r="AR340" s="30">
        <v>0</v>
      </c>
      <c r="AS340" s="30">
        <v>0</v>
      </c>
      <c r="AT340" s="30">
        <v>0</v>
      </c>
      <c r="AU340" s="30">
        <v>0</v>
      </c>
      <c r="AV340" s="30">
        <v>0</v>
      </c>
      <c r="AW340" s="30">
        <v>0</v>
      </c>
      <c r="AX340" s="30">
        <v>0</v>
      </c>
      <c r="AY340" s="30">
        <v>0</v>
      </c>
    </row>
    <row r="341" spans="1:51">
      <c r="A341" s="30" t="s">
        <v>619</v>
      </c>
      <c r="B341" s="30" t="s">
        <v>864</v>
      </c>
      <c r="C341" s="30">
        <v>3</v>
      </c>
      <c r="D341" s="30">
        <v>1228</v>
      </c>
      <c r="E341" s="30">
        <v>3676.2</v>
      </c>
      <c r="F341" s="30" t="s">
        <v>621</v>
      </c>
      <c r="G341" s="30" t="s">
        <v>638</v>
      </c>
      <c r="H341" s="30">
        <v>1.0986119999999999</v>
      </c>
      <c r="I341" s="30">
        <v>7.1131419999999999</v>
      </c>
      <c r="J341" s="30">
        <v>1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0">
        <v>0</v>
      </c>
      <c r="AF341" s="30">
        <v>0</v>
      </c>
      <c r="AG341" s="30">
        <v>0</v>
      </c>
      <c r="AH341" s="30">
        <v>0</v>
      </c>
      <c r="AI341" s="30">
        <v>0</v>
      </c>
      <c r="AJ341" s="30">
        <v>0</v>
      </c>
      <c r="AK341" s="30">
        <v>0</v>
      </c>
      <c r="AL341" s="30">
        <v>0</v>
      </c>
      <c r="AM341" s="30">
        <v>0</v>
      </c>
      <c r="AN341" s="30">
        <v>0</v>
      </c>
      <c r="AO341" s="30">
        <v>0</v>
      </c>
      <c r="AP341" s="30">
        <v>0</v>
      </c>
      <c r="AQ341" s="30">
        <v>0</v>
      </c>
      <c r="AR341" s="30">
        <v>0</v>
      </c>
      <c r="AS341" s="30">
        <v>0</v>
      </c>
      <c r="AT341" s="30">
        <v>0</v>
      </c>
      <c r="AU341" s="30">
        <v>0</v>
      </c>
      <c r="AV341" s="30">
        <v>0</v>
      </c>
      <c r="AW341" s="30">
        <v>0</v>
      </c>
      <c r="AX341" s="30">
        <v>0</v>
      </c>
      <c r="AY341" s="30">
        <v>0</v>
      </c>
    </row>
    <row r="342" spans="1:51">
      <c r="A342" s="30" t="s">
        <v>619</v>
      </c>
      <c r="B342" s="30" t="s">
        <v>865</v>
      </c>
      <c r="C342" s="30">
        <v>3</v>
      </c>
      <c r="D342" s="30">
        <v>325</v>
      </c>
      <c r="E342" s="30">
        <v>966</v>
      </c>
      <c r="F342" s="30" t="s">
        <v>621</v>
      </c>
      <c r="G342" s="30" t="s">
        <v>648</v>
      </c>
      <c r="H342" s="30">
        <v>1.0986119999999999</v>
      </c>
      <c r="I342" s="30">
        <v>5.7838250000000002</v>
      </c>
      <c r="J342" s="30">
        <v>1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30">
        <v>0</v>
      </c>
      <c r="AG342" s="30">
        <v>0</v>
      </c>
      <c r="AH342" s="30">
        <v>0</v>
      </c>
      <c r="AI342" s="30">
        <v>0</v>
      </c>
      <c r="AJ342" s="30">
        <v>0</v>
      </c>
      <c r="AK342" s="30">
        <v>0</v>
      </c>
      <c r="AL342" s="30">
        <v>0</v>
      </c>
      <c r="AM342" s="30">
        <v>0</v>
      </c>
      <c r="AN342" s="30">
        <v>0</v>
      </c>
      <c r="AO342" s="30">
        <v>1</v>
      </c>
      <c r="AP342" s="30">
        <v>0</v>
      </c>
      <c r="AQ342" s="30">
        <v>0</v>
      </c>
      <c r="AR342" s="30">
        <v>0</v>
      </c>
      <c r="AS342" s="30">
        <v>0</v>
      </c>
      <c r="AT342" s="30">
        <v>0</v>
      </c>
      <c r="AU342" s="30">
        <v>0</v>
      </c>
      <c r="AV342" s="30">
        <v>0</v>
      </c>
      <c r="AW342" s="30">
        <v>0</v>
      </c>
      <c r="AX342" s="30">
        <v>0</v>
      </c>
      <c r="AY342" s="30">
        <v>0</v>
      </c>
    </row>
    <row r="343" spans="1:51">
      <c r="A343" s="30" t="s">
        <v>619</v>
      </c>
      <c r="B343" s="30" t="s">
        <v>866</v>
      </c>
      <c r="C343" s="30">
        <v>3</v>
      </c>
      <c r="D343" s="30">
        <v>1033</v>
      </c>
      <c r="E343" s="30">
        <v>3099</v>
      </c>
      <c r="F343" s="30" t="s">
        <v>621</v>
      </c>
      <c r="G343" s="30" t="s">
        <v>624</v>
      </c>
      <c r="H343" s="30">
        <v>1.0986119999999999</v>
      </c>
      <c r="I343" s="30">
        <v>6.9402220000000003</v>
      </c>
      <c r="J343" s="30">
        <v>1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30">
        <v>0</v>
      </c>
      <c r="AG343" s="30">
        <v>0</v>
      </c>
      <c r="AH343" s="30">
        <v>0</v>
      </c>
      <c r="AI343" s="30">
        <v>0</v>
      </c>
      <c r="AJ343" s="30">
        <v>0</v>
      </c>
      <c r="AK343" s="30">
        <v>0</v>
      </c>
      <c r="AL343" s="30">
        <v>1</v>
      </c>
      <c r="AM343" s="30">
        <v>0</v>
      </c>
      <c r="AN343" s="30">
        <v>0</v>
      </c>
      <c r="AO343" s="30">
        <v>0</v>
      </c>
      <c r="AP343" s="30">
        <v>0</v>
      </c>
      <c r="AQ343" s="30">
        <v>0</v>
      </c>
      <c r="AR343" s="30">
        <v>0</v>
      </c>
      <c r="AS343" s="30">
        <v>0</v>
      </c>
      <c r="AT343" s="30">
        <v>0</v>
      </c>
      <c r="AU343" s="30">
        <v>0</v>
      </c>
      <c r="AV343" s="30">
        <v>0</v>
      </c>
      <c r="AW343" s="30">
        <v>0</v>
      </c>
      <c r="AX343" s="30">
        <v>0</v>
      </c>
      <c r="AY343" s="30">
        <v>0</v>
      </c>
    </row>
    <row r="344" spans="1:51">
      <c r="A344" s="30" t="s">
        <v>619</v>
      </c>
      <c r="B344" s="30" t="s">
        <v>867</v>
      </c>
      <c r="C344" s="30">
        <v>3</v>
      </c>
      <c r="D344" s="30">
        <v>1007</v>
      </c>
      <c r="E344" s="30">
        <v>3005.4</v>
      </c>
      <c r="F344" s="30" t="s">
        <v>621</v>
      </c>
      <c r="G344" s="30" t="s">
        <v>638</v>
      </c>
      <c r="H344" s="30">
        <v>1.0986119999999999</v>
      </c>
      <c r="I344" s="30">
        <v>6.9147309999999997</v>
      </c>
      <c r="J344" s="30">
        <v>1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30">
        <v>0</v>
      </c>
      <c r="AG344" s="30">
        <v>0</v>
      </c>
      <c r="AH344" s="30">
        <v>0</v>
      </c>
      <c r="AI344" s="30">
        <v>0</v>
      </c>
      <c r="AJ344" s="30">
        <v>0</v>
      </c>
      <c r="AK344" s="30">
        <v>0</v>
      </c>
      <c r="AL344" s="30">
        <v>0</v>
      </c>
      <c r="AM344" s="30">
        <v>0</v>
      </c>
      <c r="AN344" s="30">
        <v>0</v>
      </c>
      <c r="AO344" s="30">
        <v>0</v>
      </c>
      <c r="AP344" s="30">
        <v>0</v>
      </c>
      <c r="AQ344" s="30">
        <v>0</v>
      </c>
      <c r="AR344" s="30">
        <v>0</v>
      </c>
      <c r="AS344" s="30">
        <v>0</v>
      </c>
      <c r="AT344" s="30">
        <v>0</v>
      </c>
      <c r="AU344" s="30">
        <v>0</v>
      </c>
      <c r="AV344" s="30">
        <v>0</v>
      </c>
      <c r="AW344" s="30">
        <v>0</v>
      </c>
      <c r="AX344" s="30">
        <v>0</v>
      </c>
      <c r="AY344" s="30">
        <v>0</v>
      </c>
    </row>
    <row r="345" spans="1:51">
      <c r="A345" s="30" t="s">
        <v>619</v>
      </c>
      <c r="B345" s="30" t="s">
        <v>868</v>
      </c>
      <c r="C345" s="30">
        <v>2</v>
      </c>
      <c r="D345" s="30">
        <v>528</v>
      </c>
      <c r="E345" s="30">
        <v>1056</v>
      </c>
      <c r="F345" s="30" t="s">
        <v>621</v>
      </c>
      <c r="G345" s="30" t="s">
        <v>638</v>
      </c>
      <c r="H345" s="30">
        <v>0.69314699999999996</v>
      </c>
      <c r="I345" s="30">
        <v>6.2690960000000002</v>
      </c>
      <c r="J345" s="30">
        <v>1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0">
        <v>0</v>
      </c>
      <c r="AF345" s="30">
        <v>0</v>
      </c>
      <c r="AG345" s="30">
        <v>0</v>
      </c>
      <c r="AH345" s="30">
        <v>0</v>
      </c>
      <c r="AI345" s="30">
        <v>0</v>
      </c>
      <c r="AJ345" s="30">
        <v>0</v>
      </c>
      <c r="AK345" s="30">
        <v>0</v>
      </c>
      <c r="AL345" s="30">
        <v>0</v>
      </c>
      <c r="AM345" s="30">
        <v>0</v>
      </c>
      <c r="AN345" s="30">
        <v>0</v>
      </c>
      <c r="AO345" s="30">
        <v>0</v>
      </c>
      <c r="AP345" s="30">
        <v>0</v>
      </c>
      <c r="AQ345" s="30">
        <v>0</v>
      </c>
      <c r="AR345" s="30">
        <v>0</v>
      </c>
      <c r="AS345" s="30">
        <v>0</v>
      </c>
      <c r="AT345" s="30">
        <v>0</v>
      </c>
      <c r="AU345" s="30">
        <v>0</v>
      </c>
      <c r="AV345" s="30">
        <v>0</v>
      </c>
      <c r="AW345" s="30">
        <v>0</v>
      </c>
      <c r="AX345" s="30">
        <v>0</v>
      </c>
      <c r="AY345" s="30">
        <v>0</v>
      </c>
    </row>
    <row r="346" spans="1:51">
      <c r="A346" s="30" t="s">
        <v>619</v>
      </c>
      <c r="B346" s="30" t="s">
        <v>869</v>
      </c>
      <c r="C346" s="30">
        <v>1.5</v>
      </c>
      <c r="D346" s="30">
        <v>53</v>
      </c>
      <c r="E346" s="30">
        <v>79.5</v>
      </c>
      <c r="F346" s="30" t="s">
        <v>626</v>
      </c>
      <c r="G346" s="30" t="s">
        <v>627</v>
      </c>
      <c r="H346" s="30">
        <v>0.40546500000000002</v>
      </c>
      <c r="I346" s="30">
        <v>3.9702920000000002</v>
      </c>
      <c r="J346" s="30">
        <v>1</v>
      </c>
      <c r="K346" s="30">
        <v>0</v>
      </c>
      <c r="L346" s="30">
        <v>0</v>
      </c>
      <c r="M346" s="30">
        <v>1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30">
        <v>0</v>
      </c>
      <c r="AG346" s="30">
        <v>0</v>
      </c>
      <c r="AH346" s="30">
        <v>0</v>
      </c>
      <c r="AI346" s="30">
        <v>0</v>
      </c>
      <c r="AJ346" s="30">
        <v>1</v>
      </c>
      <c r="AK346" s="30">
        <v>0</v>
      </c>
      <c r="AL346" s="30">
        <v>0</v>
      </c>
      <c r="AM346" s="30">
        <v>0</v>
      </c>
      <c r="AN346" s="30">
        <v>0</v>
      </c>
      <c r="AO346" s="30">
        <v>0</v>
      </c>
      <c r="AP346" s="30">
        <v>0</v>
      </c>
      <c r="AQ346" s="30">
        <v>0</v>
      </c>
      <c r="AR346" s="30">
        <v>0</v>
      </c>
      <c r="AS346" s="30">
        <v>0</v>
      </c>
      <c r="AT346" s="30">
        <v>0</v>
      </c>
      <c r="AU346" s="30">
        <v>0</v>
      </c>
      <c r="AV346" s="30">
        <v>0</v>
      </c>
      <c r="AW346" s="30">
        <v>0</v>
      </c>
      <c r="AX346" s="30">
        <v>0</v>
      </c>
      <c r="AY346" s="30">
        <v>0</v>
      </c>
    </row>
    <row r="347" spans="1:51">
      <c r="A347" s="30" t="s">
        <v>619</v>
      </c>
      <c r="B347" s="30" t="s">
        <v>870</v>
      </c>
      <c r="C347" s="30">
        <v>1.5</v>
      </c>
      <c r="D347" s="30">
        <v>71</v>
      </c>
      <c r="E347" s="30">
        <v>106.2</v>
      </c>
      <c r="F347" s="30" t="s">
        <v>626</v>
      </c>
      <c r="G347" s="30" t="s">
        <v>627</v>
      </c>
      <c r="H347" s="30">
        <v>0.40546500000000002</v>
      </c>
      <c r="I347" s="30">
        <v>4.2626799999999996</v>
      </c>
      <c r="J347" s="30">
        <v>1</v>
      </c>
      <c r="K347" s="30">
        <v>0</v>
      </c>
      <c r="L347" s="30">
        <v>0</v>
      </c>
      <c r="M347" s="30">
        <v>1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30">
        <v>0</v>
      </c>
      <c r="AG347" s="30">
        <v>0</v>
      </c>
      <c r="AH347" s="30">
        <v>0</v>
      </c>
      <c r="AI347" s="30">
        <v>0</v>
      </c>
      <c r="AJ347" s="30">
        <v>1</v>
      </c>
      <c r="AK347" s="30">
        <v>0</v>
      </c>
      <c r="AL347" s="30">
        <v>0</v>
      </c>
      <c r="AM347" s="30">
        <v>0</v>
      </c>
      <c r="AN347" s="30">
        <v>0</v>
      </c>
      <c r="AO347" s="30">
        <v>0</v>
      </c>
      <c r="AP347" s="30">
        <v>0</v>
      </c>
      <c r="AQ347" s="30">
        <v>0</v>
      </c>
      <c r="AR347" s="30">
        <v>0</v>
      </c>
      <c r="AS347" s="30">
        <v>0</v>
      </c>
      <c r="AT347" s="30">
        <v>0</v>
      </c>
      <c r="AU347" s="30">
        <v>0</v>
      </c>
      <c r="AV347" s="30">
        <v>0</v>
      </c>
      <c r="AW347" s="30">
        <v>0</v>
      </c>
      <c r="AX347" s="30">
        <v>0</v>
      </c>
      <c r="AY347" s="30">
        <v>0</v>
      </c>
    </row>
    <row r="348" spans="1:51">
      <c r="A348" s="30" t="s">
        <v>619</v>
      </c>
      <c r="B348" s="30" t="s">
        <v>871</v>
      </c>
      <c r="C348" s="30">
        <v>1.5</v>
      </c>
      <c r="D348" s="30">
        <v>181</v>
      </c>
      <c r="E348" s="30">
        <v>271.5</v>
      </c>
      <c r="F348" s="30" t="s">
        <v>626</v>
      </c>
      <c r="G348" s="30" t="s">
        <v>627</v>
      </c>
      <c r="H348" s="30">
        <v>0.40546500000000002</v>
      </c>
      <c r="I348" s="30">
        <v>5.1984969999999997</v>
      </c>
      <c r="J348" s="30">
        <v>1</v>
      </c>
      <c r="K348" s="30">
        <v>0</v>
      </c>
      <c r="L348" s="30">
        <v>0</v>
      </c>
      <c r="M348" s="30">
        <v>1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0">
        <v>0</v>
      </c>
      <c r="AF348" s="30">
        <v>0</v>
      </c>
      <c r="AG348" s="30">
        <v>0</v>
      </c>
      <c r="AH348" s="30">
        <v>0</v>
      </c>
      <c r="AI348" s="30">
        <v>0</v>
      </c>
      <c r="AJ348" s="30">
        <v>1</v>
      </c>
      <c r="AK348" s="30">
        <v>0</v>
      </c>
      <c r="AL348" s="30">
        <v>0</v>
      </c>
      <c r="AM348" s="30">
        <v>0</v>
      </c>
      <c r="AN348" s="30">
        <v>0</v>
      </c>
      <c r="AO348" s="30">
        <v>0</v>
      </c>
      <c r="AP348" s="30">
        <v>0</v>
      </c>
      <c r="AQ348" s="30">
        <v>0</v>
      </c>
      <c r="AR348" s="30">
        <v>0</v>
      </c>
      <c r="AS348" s="30">
        <v>0</v>
      </c>
      <c r="AT348" s="30">
        <v>0</v>
      </c>
      <c r="AU348" s="30">
        <v>0</v>
      </c>
      <c r="AV348" s="30">
        <v>0</v>
      </c>
      <c r="AW348" s="30">
        <v>0</v>
      </c>
      <c r="AX348" s="30">
        <v>0</v>
      </c>
      <c r="AY348" s="30">
        <v>0</v>
      </c>
    </row>
    <row r="349" spans="1:51">
      <c r="A349" s="30" t="s">
        <v>619</v>
      </c>
      <c r="B349" s="30" t="s">
        <v>872</v>
      </c>
      <c r="C349" s="30">
        <v>1.5</v>
      </c>
      <c r="D349" s="30">
        <v>1</v>
      </c>
      <c r="E349" s="30">
        <v>1.5</v>
      </c>
      <c r="F349" s="30" t="s">
        <v>626</v>
      </c>
      <c r="G349" s="30" t="s">
        <v>627</v>
      </c>
      <c r="H349" s="30">
        <v>0.40546500000000002</v>
      </c>
      <c r="I349" s="30">
        <v>0</v>
      </c>
      <c r="J349" s="30">
        <v>1</v>
      </c>
      <c r="K349" s="30">
        <v>0</v>
      </c>
      <c r="L349" s="30">
        <v>0</v>
      </c>
      <c r="M349" s="30">
        <v>1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30">
        <v>0</v>
      </c>
      <c r="AG349" s="30">
        <v>0</v>
      </c>
      <c r="AH349" s="30">
        <v>0</v>
      </c>
      <c r="AI349" s="30">
        <v>0</v>
      </c>
      <c r="AJ349" s="30">
        <v>1</v>
      </c>
      <c r="AK349" s="30">
        <v>0</v>
      </c>
      <c r="AL349" s="30">
        <v>0</v>
      </c>
      <c r="AM349" s="30">
        <v>0</v>
      </c>
      <c r="AN349" s="30">
        <v>0</v>
      </c>
      <c r="AO349" s="30">
        <v>0</v>
      </c>
      <c r="AP349" s="30">
        <v>0</v>
      </c>
      <c r="AQ349" s="30">
        <v>0</v>
      </c>
      <c r="AR349" s="30">
        <v>0</v>
      </c>
      <c r="AS349" s="30">
        <v>0</v>
      </c>
      <c r="AT349" s="30">
        <v>0</v>
      </c>
      <c r="AU349" s="30">
        <v>0</v>
      </c>
      <c r="AV349" s="30">
        <v>0</v>
      </c>
      <c r="AW349" s="30">
        <v>0</v>
      </c>
      <c r="AX349" s="30">
        <v>0</v>
      </c>
      <c r="AY349" s="30">
        <v>0</v>
      </c>
    </row>
    <row r="350" spans="1:51">
      <c r="A350" s="30" t="s">
        <v>619</v>
      </c>
      <c r="B350" s="30" t="s">
        <v>873</v>
      </c>
      <c r="C350" s="30">
        <v>4</v>
      </c>
      <c r="D350" s="30">
        <v>3044</v>
      </c>
      <c r="E350" s="30">
        <v>12158.6</v>
      </c>
      <c r="F350" s="30" t="s">
        <v>621</v>
      </c>
      <c r="G350" s="30" t="s">
        <v>638</v>
      </c>
      <c r="H350" s="30">
        <v>1.3862939999999999</v>
      </c>
      <c r="I350" s="30">
        <v>8.0209279999999996</v>
      </c>
      <c r="J350" s="30">
        <v>1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30">
        <v>0</v>
      </c>
      <c r="AG350" s="30">
        <v>0</v>
      </c>
      <c r="AH350" s="30">
        <v>0</v>
      </c>
      <c r="AI350" s="30">
        <v>0</v>
      </c>
      <c r="AJ350" s="30">
        <v>0</v>
      </c>
      <c r="AK350" s="30">
        <v>0</v>
      </c>
      <c r="AL350" s="30">
        <v>0</v>
      </c>
      <c r="AM350" s="30">
        <v>0</v>
      </c>
      <c r="AN350" s="30">
        <v>0</v>
      </c>
      <c r="AO350" s="30">
        <v>0</v>
      </c>
      <c r="AP350" s="30">
        <v>0</v>
      </c>
      <c r="AQ350" s="30">
        <v>0</v>
      </c>
      <c r="AR350" s="30">
        <v>0</v>
      </c>
      <c r="AS350" s="30">
        <v>0</v>
      </c>
      <c r="AT350" s="30">
        <v>0</v>
      </c>
      <c r="AU350" s="30">
        <v>0</v>
      </c>
      <c r="AV350" s="30">
        <v>0</v>
      </c>
      <c r="AW350" s="30">
        <v>0</v>
      </c>
      <c r="AX350" s="30">
        <v>0</v>
      </c>
      <c r="AY350" s="30">
        <v>0</v>
      </c>
    </row>
    <row r="351" spans="1:51">
      <c r="A351" s="30" t="s">
        <v>619</v>
      </c>
      <c r="B351" s="30" t="s">
        <v>874</v>
      </c>
      <c r="C351" s="30">
        <v>3</v>
      </c>
      <c r="D351" s="30">
        <v>4414</v>
      </c>
      <c r="E351" s="30">
        <v>13193.25</v>
      </c>
      <c r="F351" s="30" t="s">
        <v>621</v>
      </c>
      <c r="G351" s="30" t="s">
        <v>638</v>
      </c>
      <c r="H351" s="30">
        <v>1.0986119999999999</v>
      </c>
      <c r="I351" s="30">
        <v>8.3925370000000008</v>
      </c>
      <c r="J351" s="30">
        <v>1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30">
        <v>0</v>
      </c>
      <c r="AG351" s="30">
        <v>0</v>
      </c>
      <c r="AH351" s="30">
        <v>0</v>
      </c>
      <c r="AI351" s="30">
        <v>0</v>
      </c>
      <c r="AJ351" s="30">
        <v>0</v>
      </c>
      <c r="AK351" s="30">
        <v>0</v>
      </c>
      <c r="AL351" s="30">
        <v>0</v>
      </c>
      <c r="AM351" s="30">
        <v>0</v>
      </c>
      <c r="AN351" s="30">
        <v>0</v>
      </c>
      <c r="AO351" s="30">
        <v>0</v>
      </c>
      <c r="AP351" s="30">
        <v>0</v>
      </c>
      <c r="AQ351" s="30">
        <v>0</v>
      </c>
      <c r="AR351" s="30">
        <v>0</v>
      </c>
      <c r="AS351" s="30">
        <v>0</v>
      </c>
      <c r="AT351" s="30">
        <v>0</v>
      </c>
      <c r="AU351" s="30">
        <v>0</v>
      </c>
      <c r="AV351" s="30">
        <v>0</v>
      </c>
      <c r="AW351" s="30">
        <v>0</v>
      </c>
      <c r="AX351" s="30">
        <v>0</v>
      </c>
      <c r="AY351" s="30">
        <v>0</v>
      </c>
    </row>
    <row r="352" spans="1:51">
      <c r="A352" s="30" t="s">
        <v>619</v>
      </c>
      <c r="B352" s="30" t="s">
        <v>875</v>
      </c>
      <c r="C352" s="30">
        <v>2</v>
      </c>
      <c r="D352" s="30">
        <v>2061</v>
      </c>
      <c r="E352" s="30">
        <v>4089.2</v>
      </c>
      <c r="F352" s="30" t="s">
        <v>626</v>
      </c>
      <c r="G352" s="30" t="s">
        <v>663</v>
      </c>
      <c r="H352" s="30">
        <v>0.69314699999999996</v>
      </c>
      <c r="I352" s="30">
        <v>7.6309469999999999</v>
      </c>
      <c r="J352" s="30">
        <v>1</v>
      </c>
      <c r="K352" s="30">
        <v>0</v>
      </c>
      <c r="L352" s="30">
        <v>0</v>
      </c>
      <c r="M352" s="30">
        <v>1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1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30">
        <v>0</v>
      </c>
      <c r="AG352" s="30">
        <v>0</v>
      </c>
      <c r="AH352" s="30">
        <v>0</v>
      </c>
      <c r="AI352" s="30">
        <v>0</v>
      </c>
      <c r="AJ352" s="30">
        <v>0</v>
      </c>
      <c r="AK352" s="30">
        <v>0</v>
      </c>
      <c r="AL352" s="30">
        <v>0</v>
      </c>
      <c r="AM352" s="30">
        <v>0</v>
      </c>
      <c r="AN352" s="30">
        <v>0</v>
      </c>
      <c r="AO352" s="30">
        <v>0</v>
      </c>
      <c r="AP352" s="30">
        <v>0</v>
      </c>
      <c r="AQ352" s="30">
        <v>0</v>
      </c>
      <c r="AR352" s="30">
        <v>0</v>
      </c>
      <c r="AS352" s="30">
        <v>0</v>
      </c>
      <c r="AT352" s="30">
        <v>0</v>
      </c>
      <c r="AU352" s="30">
        <v>0</v>
      </c>
      <c r="AV352" s="30">
        <v>0</v>
      </c>
      <c r="AW352" s="30">
        <v>0</v>
      </c>
      <c r="AX352" s="30">
        <v>0</v>
      </c>
      <c r="AY352" s="30">
        <v>0</v>
      </c>
    </row>
    <row r="353" spans="1:51">
      <c r="A353" s="30" t="s">
        <v>619</v>
      </c>
      <c r="B353" s="30" t="s">
        <v>876</v>
      </c>
      <c r="C353" s="30">
        <v>2</v>
      </c>
      <c r="D353" s="30">
        <v>1070</v>
      </c>
      <c r="E353" s="30">
        <v>2085.1999999999998</v>
      </c>
      <c r="F353" s="30" t="s">
        <v>626</v>
      </c>
      <c r="G353" s="30" t="s">
        <v>663</v>
      </c>
      <c r="H353" s="30">
        <v>0.69314699999999996</v>
      </c>
      <c r="I353" s="30">
        <v>6.9754139999999998</v>
      </c>
      <c r="J353" s="30">
        <v>1</v>
      </c>
      <c r="K353" s="30">
        <v>0</v>
      </c>
      <c r="L353" s="30">
        <v>0</v>
      </c>
      <c r="M353" s="30">
        <v>1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1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30">
        <v>0</v>
      </c>
      <c r="AG353" s="30">
        <v>0</v>
      </c>
      <c r="AH353" s="30">
        <v>0</v>
      </c>
      <c r="AI353" s="30">
        <v>0</v>
      </c>
      <c r="AJ353" s="30">
        <v>0</v>
      </c>
      <c r="AK353" s="30">
        <v>0</v>
      </c>
      <c r="AL353" s="30">
        <v>0</v>
      </c>
      <c r="AM353" s="30">
        <v>0</v>
      </c>
      <c r="AN353" s="30">
        <v>0</v>
      </c>
      <c r="AO353" s="30">
        <v>0</v>
      </c>
      <c r="AP353" s="30">
        <v>0</v>
      </c>
      <c r="AQ353" s="30">
        <v>0</v>
      </c>
      <c r="AR353" s="30">
        <v>0</v>
      </c>
      <c r="AS353" s="30">
        <v>0</v>
      </c>
      <c r="AT353" s="30">
        <v>0</v>
      </c>
      <c r="AU353" s="30">
        <v>0</v>
      </c>
      <c r="AV353" s="30">
        <v>0</v>
      </c>
      <c r="AW353" s="30">
        <v>0</v>
      </c>
      <c r="AX353" s="30">
        <v>0</v>
      </c>
      <c r="AY353" s="30">
        <v>0</v>
      </c>
    </row>
    <row r="354" spans="1:51">
      <c r="A354" s="30" t="s">
        <v>619</v>
      </c>
      <c r="B354" s="30" t="s">
        <v>877</v>
      </c>
      <c r="C354" s="30">
        <v>8</v>
      </c>
      <c r="D354" s="30">
        <v>351</v>
      </c>
      <c r="E354" s="30">
        <v>2808</v>
      </c>
      <c r="F354" s="30" t="s">
        <v>621</v>
      </c>
      <c r="G354" s="30" t="s">
        <v>648</v>
      </c>
      <c r="H354" s="30">
        <v>2.0794419999999998</v>
      </c>
      <c r="I354" s="30">
        <v>5.8607860000000001</v>
      </c>
      <c r="J354" s="30">
        <v>1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30">
        <v>0</v>
      </c>
      <c r="AG354" s="30">
        <v>0</v>
      </c>
      <c r="AH354" s="30">
        <v>0</v>
      </c>
      <c r="AI354" s="30">
        <v>0</v>
      </c>
      <c r="AJ354" s="30">
        <v>0</v>
      </c>
      <c r="AK354" s="30">
        <v>0</v>
      </c>
      <c r="AL354" s="30">
        <v>0</v>
      </c>
      <c r="AM354" s="30">
        <v>0</v>
      </c>
      <c r="AN354" s="30">
        <v>0</v>
      </c>
      <c r="AO354" s="30">
        <v>1</v>
      </c>
      <c r="AP354" s="30">
        <v>0</v>
      </c>
      <c r="AQ354" s="30">
        <v>0</v>
      </c>
      <c r="AR354" s="30">
        <v>0</v>
      </c>
      <c r="AS354" s="30">
        <v>0</v>
      </c>
      <c r="AT354" s="30">
        <v>0</v>
      </c>
      <c r="AU354" s="30">
        <v>0</v>
      </c>
      <c r="AV354" s="30">
        <v>0</v>
      </c>
      <c r="AW354" s="30">
        <v>0</v>
      </c>
      <c r="AX354" s="30">
        <v>0</v>
      </c>
      <c r="AY354" s="30">
        <v>0</v>
      </c>
    </row>
    <row r="355" spans="1:51">
      <c r="A355" s="30" t="s">
        <v>619</v>
      </c>
      <c r="B355" s="30" t="s">
        <v>878</v>
      </c>
      <c r="C355" s="30">
        <v>4</v>
      </c>
      <c r="D355" s="30">
        <v>20</v>
      </c>
      <c r="E355" s="30">
        <v>80</v>
      </c>
      <c r="F355" s="30" t="s">
        <v>626</v>
      </c>
      <c r="G355" s="30" t="s">
        <v>879</v>
      </c>
      <c r="H355" s="30">
        <v>1.3862939999999999</v>
      </c>
      <c r="I355" s="30">
        <v>2.9957319999999998</v>
      </c>
      <c r="J355" s="30">
        <v>1</v>
      </c>
      <c r="K355" s="30">
        <v>0</v>
      </c>
      <c r="L355" s="30">
        <v>0</v>
      </c>
      <c r="M355" s="30">
        <v>1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30">
        <v>0</v>
      </c>
      <c r="AG355" s="30">
        <v>1</v>
      </c>
      <c r="AH355" s="30">
        <v>0</v>
      </c>
      <c r="AI355" s="30">
        <v>0</v>
      </c>
      <c r="AJ355" s="30">
        <v>0</v>
      </c>
      <c r="AK355" s="30">
        <v>0</v>
      </c>
      <c r="AL355" s="30">
        <v>0</v>
      </c>
      <c r="AM355" s="30">
        <v>0</v>
      </c>
      <c r="AN355" s="30">
        <v>0</v>
      </c>
      <c r="AO355" s="30">
        <v>0</v>
      </c>
      <c r="AP355" s="30">
        <v>0</v>
      </c>
      <c r="AQ355" s="30">
        <v>0</v>
      </c>
      <c r="AR355" s="30">
        <v>0</v>
      </c>
      <c r="AS355" s="30">
        <v>0</v>
      </c>
      <c r="AT355" s="30">
        <v>0</v>
      </c>
      <c r="AU355" s="30">
        <v>0</v>
      </c>
      <c r="AV355" s="30">
        <v>0</v>
      </c>
      <c r="AW355" s="30">
        <v>0</v>
      </c>
      <c r="AX355" s="30">
        <v>0</v>
      </c>
      <c r="AY355" s="30">
        <v>0</v>
      </c>
    </row>
    <row r="356" spans="1:51">
      <c r="A356" s="30" t="s">
        <v>619</v>
      </c>
      <c r="B356" s="30" t="s">
        <v>880</v>
      </c>
      <c r="C356" s="30">
        <v>1</v>
      </c>
      <c r="D356" s="30">
        <v>1205</v>
      </c>
      <c r="E356" s="30">
        <v>1188.8</v>
      </c>
      <c r="F356" s="30" t="s">
        <v>626</v>
      </c>
      <c r="G356" s="30" t="s">
        <v>663</v>
      </c>
      <c r="H356" s="30">
        <v>0</v>
      </c>
      <c r="I356" s="30">
        <v>7.0942350000000003</v>
      </c>
      <c r="J356" s="30">
        <v>1</v>
      </c>
      <c r="K356" s="30">
        <v>0</v>
      </c>
      <c r="L356" s="30">
        <v>0</v>
      </c>
      <c r="M356" s="30">
        <v>1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1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30">
        <v>0</v>
      </c>
      <c r="AG356" s="30">
        <v>0</v>
      </c>
      <c r="AH356" s="30">
        <v>0</v>
      </c>
      <c r="AI356" s="30">
        <v>0</v>
      </c>
      <c r="AJ356" s="30">
        <v>0</v>
      </c>
      <c r="AK356" s="30">
        <v>0</v>
      </c>
      <c r="AL356" s="30">
        <v>0</v>
      </c>
      <c r="AM356" s="30">
        <v>0</v>
      </c>
      <c r="AN356" s="30">
        <v>0</v>
      </c>
      <c r="AO356" s="30">
        <v>0</v>
      </c>
      <c r="AP356" s="30">
        <v>0</v>
      </c>
      <c r="AQ356" s="30">
        <v>0</v>
      </c>
      <c r="AR356" s="30">
        <v>0</v>
      </c>
      <c r="AS356" s="30">
        <v>0</v>
      </c>
      <c r="AT356" s="30">
        <v>0</v>
      </c>
      <c r="AU356" s="30">
        <v>0</v>
      </c>
      <c r="AV356" s="30">
        <v>0</v>
      </c>
      <c r="AW356" s="30">
        <v>0</v>
      </c>
      <c r="AX356" s="30">
        <v>0</v>
      </c>
      <c r="AY356" s="30">
        <v>0</v>
      </c>
    </row>
    <row r="357" spans="1:51">
      <c r="A357" s="30" t="s">
        <v>619</v>
      </c>
      <c r="B357" s="30" t="s">
        <v>881</v>
      </c>
      <c r="C357" s="30">
        <v>4</v>
      </c>
      <c r="D357" s="30">
        <v>95</v>
      </c>
      <c r="E357" s="30">
        <v>380</v>
      </c>
      <c r="F357" s="30" t="s">
        <v>626</v>
      </c>
      <c r="G357" s="30" t="s">
        <v>879</v>
      </c>
      <c r="H357" s="30">
        <v>1.3862939999999999</v>
      </c>
      <c r="I357" s="30">
        <v>4.553877</v>
      </c>
      <c r="J357" s="30">
        <v>1</v>
      </c>
      <c r="K357" s="30">
        <v>0</v>
      </c>
      <c r="L357" s="30">
        <v>0</v>
      </c>
      <c r="M357" s="30">
        <v>1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30">
        <v>0</v>
      </c>
      <c r="AG357" s="30">
        <v>1</v>
      </c>
      <c r="AH357" s="30">
        <v>0</v>
      </c>
      <c r="AI357" s="30">
        <v>0</v>
      </c>
      <c r="AJ357" s="30">
        <v>0</v>
      </c>
      <c r="AK357" s="30">
        <v>0</v>
      </c>
      <c r="AL357" s="30">
        <v>0</v>
      </c>
      <c r="AM357" s="30">
        <v>0</v>
      </c>
      <c r="AN357" s="30">
        <v>0</v>
      </c>
      <c r="AO357" s="30">
        <v>0</v>
      </c>
      <c r="AP357" s="30">
        <v>0</v>
      </c>
      <c r="AQ357" s="30">
        <v>0</v>
      </c>
      <c r="AR357" s="30">
        <v>0</v>
      </c>
      <c r="AS357" s="30">
        <v>0</v>
      </c>
      <c r="AT357" s="30">
        <v>0</v>
      </c>
      <c r="AU357" s="30">
        <v>0</v>
      </c>
      <c r="AV357" s="30">
        <v>0</v>
      </c>
      <c r="AW357" s="30">
        <v>0</v>
      </c>
      <c r="AX357" s="30">
        <v>0</v>
      </c>
      <c r="AY357" s="30">
        <v>0</v>
      </c>
    </row>
    <row r="358" spans="1:51">
      <c r="A358" s="30" t="s">
        <v>619</v>
      </c>
      <c r="B358" s="30" t="s">
        <v>882</v>
      </c>
      <c r="C358" s="30">
        <v>1</v>
      </c>
      <c r="D358" s="30">
        <v>255</v>
      </c>
      <c r="E358" s="30">
        <v>255</v>
      </c>
      <c r="F358" s="30" t="s">
        <v>626</v>
      </c>
      <c r="G358" s="30" t="s">
        <v>663</v>
      </c>
      <c r="H358" s="30">
        <v>0</v>
      </c>
      <c r="I358" s="30">
        <v>5.541264</v>
      </c>
      <c r="J358" s="30">
        <v>1</v>
      </c>
      <c r="K358" s="30">
        <v>0</v>
      </c>
      <c r="L358" s="30">
        <v>0</v>
      </c>
      <c r="M358" s="30">
        <v>1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1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30">
        <v>0</v>
      </c>
      <c r="AG358" s="30">
        <v>0</v>
      </c>
      <c r="AH358" s="30">
        <v>0</v>
      </c>
      <c r="AI358" s="30">
        <v>0</v>
      </c>
      <c r="AJ358" s="30">
        <v>0</v>
      </c>
      <c r="AK358" s="30">
        <v>0</v>
      </c>
      <c r="AL358" s="30">
        <v>0</v>
      </c>
      <c r="AM358" s="30">
        <v>0</v>
      </c>
      <c r="AN358" s="30">
        <v>0</v>
      </c>
      <c r="AO358" s="30">
        <v>0</v>
      </c>
      <c r="AP358" s="30">
        <v>0</v>
      </c>
      <c r="AQ358" s="30">
        <v>0</v>
      </c>
      <c r="AR358" s="30">
        <v>0</v>
      </c>
      <c r="AS358" s="30">
        <v>0</v>
      </c>
      <c r="AT358" s="30">
        <v>0</v>
      </c>
      <c r="AU358" s="30">
        <v>0</v>
      </c>
      <c r="AV358" s="30">
        <v>0</v>
      </c>
      <c r="AW358" s="30">
        <v>0</v>
      </c>
      <c r="AX358" s="30">
        <v>0</v>
      </c>
      <c r="AY358" s="30">
        <v>0</v>
      </c>
    </row>
    <row r="359" spans="1:51">
      <c r="A359" s="30" t="s">
        <v>619</v>
      </c>
      <c r="B359" s="30" t="s">
        <v>883</v>
      </c>
      <c r="C359" s="30">
        <v>0.5</v>
      </c>
      <c r="D359" s="30">
        <v>219</v>
      </c>
      <c r="E359" s="30">
        <v>109.5</v>
      </c>
      <c r="F359" s="30" t="s">
        <v>626</v>
      </c>
      <c r="G359" s="30" t="s">
        <v>663</v>
      </c>
      <c r="H359" s="30">
        <v>-0.69315000000000004</v>
      </c>
      <c r="I359" s="30">
        <v>5.3890719999999996</v>
      </c>
      <c r="J359" s="30">
        <v>1</v>
      </c>
      <c r="K359" s="30">
        <v>0</v>
      </c>
      <c r="L359" s="30">
        <v>0</v>
      </c>
      <c r="M359" s="30">
        <v>1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1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30">
        <v>0</v>
      </c>
      <c r="AG359" s="30">
        <v>0</v>
      </c>
      <c r="AH359" s="30">
        <v>0</v>
      </c>
      <c r="AI359" s="30">
        <v>0</v>
      </c>
      <c r="AJ359" s="30">
        <v>0</v>
      </c>
      <c r="AK359" s="30">
        <v>0</v>
      </c>
      <c r="AL359" s="30">
        <v>0</v>
      </c>
      <c r="AM359" s="30">
        <v>0</v>
      </c>
      <c r="AN359" s="30">
        <v>0</v>
      </c>
      <c r="AO359" s="30">
        <v>0</v>
      </c>
      <c r="AP359" s="30">
        <v>0</v>
      </c>
      <c r="AQ359" s="30">
        <v>0</v>
      </c>
      <c r="AR359" s="30">
        <v>0</v>
      </c>
      <c r="AS359" s="30">
        <v>0</v>
      </c>
      <c r="AT359" s="30">
        <v>0</v>
      </c>
      <c r="AU359" s="30">
        <v>0</v>
      </c>
      <c r="AV359" s="30">
        <v>0</v>
      </c>
      <c r="AW359" s="30">
        <v>0</v>
      </c>
      <c r="AX359" s="30">
        <v>0</v>
      </c>
      <c r="AY359" s="30">
        <v>0</v>
      </c>
    </row>
    <row r="360" spans="1:51">
      <c r="A360" s="30" t="s">
        <v>619</v>
      </c>
      <c r="B360" s="30" t="s">
        <v>884</v>
      </c>
      <c r="C360" s="30">
        <v>12</v>
      </c>
      <c r="D360" s="30">
        <v>111</v>
      </c>
      <c r="E360" s="30">
        <v>1332</v>
      </c>
      <c r="F360" s="30" t="s">
        <v>621</v>
      </c>
      <c r="G360" s="30" t="s">
        <v>624</v>
      </c>
      <c r="H360" s="30">
        <v>2.4849070000000002</v>
      </c>
      <c r="I360" s="30">
        <v>4.70953</v>
      </c>
      <c r="J360" s="30">
        <v>1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30">
        <v>0</v>
      </c>
      <c r="AG360" s="30">
        <v>0</v>
      </c>
      <c r="AH360" s="30">
        <v>0</v>
      </c>
      <c r="AI360" s="30">
        <v>0</v>
      </c>
      <c r="AJ360" s="30">
        <v>0</v>
      </c>
      <c r="AK360" s="30">
        <v>0</v>
      </c>
      <c r="AL360" s="30">
        <v>1</v>
      </c>
      <c r="AM360" s="30">
        <v>0</v>
      </c>
      <c r="AN360" s="30">
        <v>0</v>
      </c>
      <c r="AO360" s="30">
        <v>0</v>
      </c>
      <c r="AP360" s="30">
        <v>0</v>
      </c>
      <c r="AQ360" s="30">
        <v>0</v>
      </c>
      <c r="AR360" s="30">
        <v>0</v>
      </c>
      <c r="AS360" s="30">
        <v>0</v>
      </c>
      <c r="AT360" s="30">
        <v>0</v>
      </c>
      <c r="AU360" s="30">
        <v>0</v>
      </c>
      <c r="AV360" s="30">
        <v>0</v>
      </c>
      <c r="AW360" s="30">
        <v>0</v>
      </c>
      <c r="AX360" s="30">
        <v>0</v>
      </c>
      <c r="AY360" s="30">
        <v>0</v>
      </c>
    </row>
    <row r="361" spans="1:51">
      <c r="A361" s="30" t="s">
        <v>619</v>
      </c>
      <c r="B361" s="30" t="s">
        <v>885</v>
      </c>
      <c r="C361" s="30">
        <v>3</v>
      </c>
      <c r="D361" s="30">
        <v>467</v>
      </c>
      <c r="E361" s="30">
        <v>1401</v>
      </c>
      <c r="F361" s="30" t="s">
        <v>621</v>
      </c>
      <c r="G361" s="30" t="s">
        <v>624</v>
      </c>
      <c r="H361" s="30">
        <v>1.0986119999999999</v>
      </c>
      <c r="I361" s="30">
        <v>6.1463289999999997</v>
      </c>
      <c r="J361" s="30">
        <v>1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30">
        <v>0</v>
      </c>
      <c r="AG361" s="30">
        <v>0</v>
      </c>
      <c r="AH361" s="30">
        <v>0</v>
      </c>
      <c r="AI361" s="30">
        <v>0</v>
      </c>
      <c r="AJ361" s="30">
        <v>0</v>
      </c>
      <c r="AK361" s="30">
        <v>0</v>
      </c>
      <c r="AL361" s="30">
        <v>1</v>
      </c>
      <c r="AM361" s="30">
        <v>0</v>
      </c>
      <c r="AN361" s="30">
        <v>0</v>
      </c>
      <c r="AO361" s="30">
        <v>0</v>
      </c>
      <c r="AP361" s="30">
        <v>0</v>
      </c>
      <c r="AQ361" s="30">
        <v>0</v>
      </c>
      <c r="AR361" s="30">
        <v>0</v>
      </c>
      <c r="AS361" s="30">
        <v>0</v>
      </c>
      <c r="AT361" s="30">
        <v>0</v>
      </c>
      <c r="AU361" s="30">
        <v>0</v>
      </c>
      <c r="AV361" s="30">
        <v>0</v>
      </c>
      <c r="AW361" s="30">
        <v>0</v>
      </c>
      <c r="AX361" s="30">
        <v>0</v>
      </c>
      <c r="AY361" s="30">
        <v>0</v>
      </c>
    </row>
    <row r="362" spans="1:51">
      <c r="A362" s="30" t="s">
        <v>619</v>
      </c>
      <c r="B362" s="30" t="s">
        <v>886</v>
      </c>
      <c r="C362" s="30">
        <v>0.5</v>
      </c>
      <c r="D362" s="30">
        <v>217</v>
      </c>
      <c r="E362" s="30">
        <v>108.3</v>
      </c>
      <c r="F362" s="30" t="s">
        <v>626</v>
      </c>
      <c r="G362" s="30" t="s">
        <v>663</v>
      </c>
      <c r="H362" s="30">
        <v>-0.69315000000000004</v>
      </c>
      <c r="I362" s="30">
        <v>5.3798969999999997</v>
      </c>
      <c r="J362" s="30">
        <v>1</v>
      </c>
      <c r="K362" s="30">
        <v>0</v>
      </c>
      <c r="L362" s="30">
        <v>0</v>
      </c>
      <c r="M362" s="30">
        <v>1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1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30">
        <v>0</v>
      </c>
      <c r="AG362" s="30">
        <v>0</v>
      </c>
      <c r="AH362" s="30">
        <v>0</v>
      </c>
      <c r="AI362" s="30">
        <v>0</v>
      </c>
      <c r="AJ362" s="30">
        <v>0</v>
      </c>
      <c r="AK362" s="30">
        <v>0</v>
      </c>
      <c r="AL362" s="30">
        <v>0</v>
      </c>
      <c r="AM362" s="30">
        <v>0</v>
      </c>
      <c r="AN362" s="30">
        <v>0</v>
      </c>
      <c r="AO362" s="30">
        <v>0</v>
      </c>
      <c r="AP362" s="30">
        <v>0</v>
      </c>
      <c r="AQ362" s="30">
        <v>0</v>
      </c>
      <c r="AR362" s="30">
        <v>0</v>
      </c>
      <c r="AS362" s="30">
        <v>0</v>
      </c>
      <c r="AT362" s="30">
        <v>0</v>
      </c>
      <c r="AU362" s="30">
        <v>0</v>
      </c>
      <c r="AV362" s="30">
        <v>0</v>
      </c>
      <c r="AW362" s="30">
        <v>0</v>
      </c>
      <c r="AX362" s="30">
        <v>0</v>
      </c>
      <c r="AY362" s="30">
        <v>0</v>
      </c>
    </row>
    <row r="363" spans="1:51">
      <c r="A363" s="30" t="s">
        <v>619</v>
      </c>
      <c r="B363" s="30" t="s">
        <v>887</v>
      </c>
      <c r="C363" s="30">
        <v>10</v>
      </c>
      <c r="D363" s="30">
        <v>522</v>
      </c>
      <c r="E363" s="30">
        <v>5220</v>
      </c>
      <c r="F363" s="30" t="s">
        <v>621</v>
      </c>
      <c r="G363" s="30" t="s">
        <v>648</v>
      </c>
      <c r="H363" s="30">
        <v>2.3025850000000001</v>
      </c>
      <c r="I363" s="30">
        <v>6.2576679999999998</v>
      </c>
      <c r="J363" s="30">
        <v>1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30">
        <v>0</v>
      </c>
      <c r="AG363" s="30">
        <v>0</v>
      </c>
      <c r="AH363" s="30">
        <v>0</v>
      </c>
      <c r="AI363" s="30">
        <v>0</v>
      </c>
      <c r="AJ363" s="30">
        <v>0</v>
      </c>
      <c r="AK363" s="30">
        <v>0</v>
      </c>
      <c r="AL363" s="30">
        <v>0</v>
      </c>
      <c r="AM363" s="30">
        <v>0</v>
      </c>
      <c r="AN363" s="30">
        <v>0</v>
      </c>
      <c r="AO363" s="30">
        <v>1</v>
      </c>
      <c r="AP363" s="30">
        <v>0</v>
      </c>
      <c r="AQ363" s="30">
        <v>0</v>
      </c>
      <c r="AR363" s="30">
        <v>0</v>
      </c>
      <c r="AS363" s="30">
        <v>0</v>
      </c>
      <c r="AT363" s="30">
        <v>0</v>
      </c>
      <c r="AU363" s="30">
        <v>0</v>
      </c>
      <c r="AV363" s="30">
        <v>0</v>
      </c>
      <c r="AW363" s="30">
        <v>0</v>
      </c>
      <c r="AX363" s="30">
        <v>0</v>
      </c>
      <c r="AY363" s="30">
        <v>0</v>
      </c>
    </row>
    <row r="364" spans="1:51">
      <c r="A364" s="30" t="s">
        <v>619</v>
      </c>
      <c r="B364" s="30" t="s">
        <v>888</v>
      </c>
      <c r="C364" s="30">
        <v>0.5</v>
      </c>
      <c r="D364" s="30">
        <v>13</v>
      </c>
      <c r="E364" s="30">
        <v>6.4</v>
      </c>
      <c r="F364" s="30" t="s">
        <v>626</v>
      </c>
      <c r="G364" s="30" t="s">
        <v>663</v>
      </c>
      <c r="H364" s="30">
        <v>-0.69315000000000004</v>
      </c>
      <c r="I364" s="30">
        <v>2.5649489999999999</v>
      </c>
      <c r="J364" s="30">
        <v>1</v>
      </c>
      <c r="K364" s="30">
        <v>0</v>
      </c>
      <c r="L364" s="30">
        <v>0</v>
      </c>
      <c r="M364" s="30">
        <v>1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1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30">
        <v>0</v>
      </c>
      <c r="AG364" s="30">
        <v>0</v>
      </c>
      <c r="AH364" s="30">
        <v>0</v>
      </c>
      <c r="AI364" s="30">
        <v>0</v>
      </c>
      <c r="AJ364" s="30">
        <v>0</v>
      </c>
      <c r="AK364" s="30">
        <v>0</v>
      </c>
      <c r="AL364" s="30">
        <v>0</v>
      </c>
      <c r="AM364" s="30">
        <v>0</v>
      </c>
      <c r="AN364" s="30">
        <v>0</v>
      </c>
      <c r="AO364" s="30">
        <v>0</v>
      </c>
      <c r="AP364" s="30">
        <v>0</v>
      </c>
      <c r="AQ364" s="30">
        <v>0</v>
      </c>
      <c r="AR364" s="30">
        <v>0</v>
      </c>
      <c r="AS364" s="30">
        <v>0</v>
      </c>
      <c r="AT364" s="30">
        <v>0</v>
      </c>
      <c r="AU364" s="30">
        <v>0</v>
      </c>
      <c r="AV364" s="30">
        <v>0</v>
      </c>
      <c r="AW364" s="30">
        <v>0</v>
      </c>
      <c r="AX364" s="30">
        <v>0</v>
      </c>
      <c r="AY364" s="30">
        <v>0</v>
      </c>
    </row>
    <row r="365" spans="1:51">
      <c r="A365" s="30" t="s">
        <v>619</v>
      </c>
      <c r="B365" s="30" t="s">
        <v>889</v>
      </c>
      <c r="C365" s="30">
        <v>0.5</v>
      </c>
      <c r="D365" s="30">
        <v>381</v>
      </c>
      <c r="E365" s="30">
        <v>190.1</v>
      </c>
      <c r="F365" s="30" t="s">
        <v>626</v>
      </c>
      <c r="G365" s="30" t="s">
        <v>663</v>
      </c>
      <c r="H365" s="30">
        <v>-0.69315000000000004</v>
      </c>
      <c r="I365" s="30">
        <v>5.9427989999999999</v>
      </c>
      <c r="J365" s="30">
        <v>1</v>
      </c>
      <c r="K365" s="30">
        <v>0</v>
      </c>
      <c r="L365" s="30">
        <v>0</v>
      </c>
      <c r="M365" s="30">
        <v>1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1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30">
        <v>0</v>
      </c>
      <c r="AG365" s="30">
        <v>0</v>
      </c>
      <c r="AH365" s="30">
        <v>0</v>
      </c>
      <c r="AI365" s="30">
        <v>0</v>
      </c>
      <c r="AJ365" s="30">
        <v>0</v>
      </c>
      <c r="AK365" s="30">
        <v>0</v>
      </c>
      <c r="AL365" s="30">
        <v>0</v>
      </c>
      <c r="AM365" s="30">
        <v>0</v>
      </c>
      <c r="AN365" s="30">
        <v>0</v>
      </c>
      <c r="AO365" s="30">
        <v>0</v>
      </c>
      <c r="AP365" s="30">
        <v>0</v>
      </c>
      <c r="AQ365" s="30">
        <v>0</v>
      </c>
      <c r="AR365" s="30">
        <v>0</v>
      </c>
      <c r="AS365" s="30">
        <v>0</v>
      </c>
      <c r="AT365" s="30">
        <v>0</v>
      </c>
      <c r="AU365" s="30">
        <v>0</v>
      </c>
      <c r="AV365" s="30">
        <v>0</v>
      </c>
      <c r="AW365" s="30">
        <v>0</v>
      </c>
      <c r="AX365" s="30">
        <v>0</v>
      </c>
      <c r="AY365" s="30">
        <v>0</v>
      </c>
    </row>
    <row r="366" spans="1:51">
      <c r="A366" s="30" t="s">
        <v>619</v>
      </c>
      <c r="B366" s="30" t="s">
        <v>890</v>
      </c>
      <c r="C366" s="30">
        <v>0.5</v>
      </c>
      <c r="D366" s="30">
        <v>123</v>
      </c>
      <c r="E366" s="30">
        <v>61.4</v>
      </c>
      <c r="F366" s="30" t="s">
        <v>626</v>
      </c>
      <c r="G366" s="30" t="s">
        <v>663</v>
      </c>
      <c r="H366" s="30">
        <v>-0.69315000000000004</v>
      </c>
      <c r="I366" s="30">
        <v>4.8121840000000002</v>
      </c>
      <c r="J366" s="30">
        <v>1</v>
      </c>
      <c r="K366" s="30">
        <v>0</v>
      </c>
      <c r="L366" s="30">
        <v>0</v>
      </c>
      <c r="M366" s="30">
        <v>1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1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30">
        <v>0</v>
      </c>
      <c r="AG366" s="30">
        <v>0</v>
      </c>
      <c r="AH366" s="30">
        <v>0</v>
      </c>
      <c r="AI366" s="30">
        <v>0</v>
      </c>
      <c r="AJ366" s="30">
        <v>0</v>
      </c>
      <c r="AK366" s="30">
        <v>0</v>
      </c>
      <c r="AL366" s="30">
        <v>0</v>
      </c>
      <c r="AM366" s="30">
        <v>0</v>
      </c>
      <c r="AN366" s="30">
        <v>0</v>
      </c>
      <c r="AO366" s="30">
        <v>0</v>
      </c>
      <c r="AP366" s="30">
        <v>0</v>
      </c>
      <c r="AQ366" s="30">
        <v>0</v>
      </c>
      <c r="AR366" s="30">
        <v>0</v>
      </c>
      <c r="AS366" s="30">
        <v>0</v>
      </c>
      <c r="AT366" s="30">
        <v>0</v>
      </c>
      <c r="AU366" s="30">
        <v>0</v>
      </c>
      <c r="AV366" s="30">
        <v>0</v>
      </c>
      <c r="AW366" s="30">
        <v>0</v>
      </c>
      <c r="AX366" s="30">
        <v>0</v>
      </c>
      <c r="AY366" s="30">
        <v>0</v>
      </c>
    </row>
    <row r="367" spans="1:51">
      <c r="A367" s="30" t="s">
        <v>619</v>
      </c>
      <c r="B367" s="30" t="s">
        <v>891</v>
      </c>
      <c r="C367" s="30">
        <v>1</v>
      </c>
      <c r="D367" s="30">
        <v>212</v>
      </c>
      <c r="E367" s="30">
        <v>212</v>
      </c>
      <c r="F367" s="30" t="s">
        <v>626</v>
      </c>
      <c r="G367" s="30" t="s">
        <v>663</v>
      </c>
      <c r="H367" s="30">
        <v>0</v>
      </c>
      <c r="I367" s="30">
        <v>5.3565860000000001</v>
      </c>
      <c r="J367" s="30">
        <v>1</v>
      </c>
      <c r="K367" s="30">
        <v>0</v>
      </c>
      <c r="L367" s="30">
        <v>0</v>
      </c>
      <c r="M367" s="30">
        <v>1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1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30">
        <v>0</v>
      </c>
      <c r="AG367" s="30">
        <v>0</v>
      </c>
      <c r="AH367" s="30">
        <v>0</v>
      </c>
      <c r="AI367" s="30">
        <v>0</v>
      </c>
      <c r="AJ367" s="30">
        <v>0</v>
      </c>
      <c r="AK367" s="30">
        <v>0</v>
      </c>
      <c r="AL367" s="30">
        <v>0</v>
      </c>
      <c r="AM367" s="30">
        <v>0</v>
      </c>
      <c r="AN367" s="30">
        <v>0</v>
      </c>
      <c r="AO367" s="30">
        <v>0</v>
      </c>
      <c r="AP367" s="30">
        <v>0</v>
      </c>
      <c r="AQ367" s="30">
        <v>0</v>
      </c>
      <c r="AR367" s="30">
        <v>0</v>
      </c>
      <c r="AS367" s="30">
        <v>0</v>
      </c>
      <c r="AT367" s="30">
        <v>0</v>
      </c>
      <c r="AU367" s="30">
        <v>0</v>
      </c>
      <c r="AV367" s="30">
        <v>0</v>
      </c>
      <c r="AW367" s="30">
        <v>0</v>
      </c>
      <c r="AX367" s="30">
        <v>0</v>
      </c>
      <c r="AY367" s="30">
        <v>0</v>
      </c>
    </row>
    <row r="368" spans="1:51">
      <c r="A368" s="30" t="s">
        <v>619</v>
      </c>
      <c r="B368" s="30" t="s">
        <v>892</v>
      </c>
      <c r="C368" s="30">
        <v>8</v>
      </c>
      <c r="D368" s="30">
        <v>90</v>
      </c>
      <c r="E368" s="30">
        <v>720</v>
      </c>
      <c r="F368" s="30" t="s">
        <v>621</v>
      </c>
      <c r="G368" s="30" t="s">
        <v>624</v>
      </c>
      <c r="H368" s="30">
        <v>2.0794419999999998</v>
      </c>
      <c r="I368" s="30">
        <v>4.4998100000000001</v>
      </c>
      <c r="J368" s="30">
        <v>1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30">
        <v>0</v>
      </c>
      <c r="AG368" s="30">
        <v>0</v>
      </c>
      <c r="AH368" s="30">
        <v>0</v>
      </c>
      <c r="AI368" s="30">
        <v>0</v>
      </c>
      <c r="AJ368" s="30">
        <v>0</v>
      </c>
      <c r="AK368" s="30">
        <v>0</v>
      </c>
      <c r="AL368" s="30">
        <v>1</v>
      </c>
      <c r="AM368" s="30">
        <v>0</v>
      </c>
      <c r="AN368" s="30">
        <v>0</v>
      </c>
      <c r="AO368" s="30">
        <v>0</v>
      </c>
      <c r="AP368" s="30">
        <v>0</v>
      </c>
      <c r="AQ368" s="30">
        <v>0</v>
      </c>
      <c r="AR368" s="30">
        <v>0</v>
      </c>
      <c r="AS368" s="30">
        <v>0</v>
      </c>
      <c r="AT368" s="30">
        <v>0</v>
      </c>
      <c r="AU368" s="30">
        <v>0</v>
      </c>
      <c r="AV368" s="30">
        <v>0</v>
      </c>
      <c r="AW368" s="30">
        <v>0</v>
      </c>
      <c r="AX368" s="30">
        <v>0</v>
      </c>
      <c r="AY368" s="30">
        <v>0</v>
      </c>
    </row>
    <row r="369" spans="1:51">
      <c r="A369" s="30" t="s">
        <v>619</v>
      </c>
      <c r="B369" s="30" t="s">
        <v>893</v>
      </c>
      <c r="C369" s="30">
        <v>6</v>
      </c>
      <c r="D369" s="30">
        <v>441</v>
      </c>
      <c r="E369" s="30">
        <v>2646</v>
      </c>
      <c r="F369" s="30" t="s">
        <v>621</v>
      </c>
      <c r="G369" s="30" t="s">
        <v>624</v>
      </c>
      <c r="H369" s="30">
        <v>1.7917590000000001</v>
      </c>
      <c r="I369" s="30">
        <v>6.0890449999999996</v>
      </c>
      <c r="J369" s="30">
        <v>1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30">
        <v>0</v>
      </c>
      <c r="AG369" s="30">
        <v>0</v>
      </c>
      <c r="AH369" s="30">
        <v>0</v>
      </c>
      <c r="AI369" s="30">
        <v>0</v>
      </c>
      <c r="AJ369" s="30">
        <v>0</v>
      </c>
      <c r="AK369" s="30">
        <v>0</v>
      </c>
      <c r="AL369" s="30">
        <v>1</v>
      </c>
      <c r="AM369" s="30">
        <v>0</v>
      </c>
      <c r="AN369" s="30">
        <v>0</v>
      </c>
      <c r="AO369" s="30">
        <v>0</v>
      </c>
      <c r="AP369" s="30">
        <v>0</v>
      </c>
      <c r="AQ369" s="30">
        <v>0</v>
      </c>
      <c r="AR369" s="30">
        <v>0</v>
      </c>
      <c r="AS369" s="30">
        <v>0</v>
      </c>
      <c r="AT369" s="30">
        <v>0</v>
      </c>
      <c r="AU369" s="30">
        <v>0</v>
      </c>
      <c r="AV369" s="30">
        <v>0</v>
      </c>
      <c r="AW369" s="30">
        <v>0</v>
      </c>
      <c r="AX369" s="30">
        <v>0</v>
      </c>
      <c r="AY369" s="30">
        <v>0</v>
      </c>
    </row>
    <row r="370" spans="1:51">
      <c r="A370" s="30" t="s">
        <v>619</v>
      </c>
      <c r="B370" s="30" t="s">
        <v>894</v>
      </c>
      <c r="C370" s="30">
        <v>2.5</v>
      </c>
      <c r="D370" s="30">
        <v>19</v>
      </c>
      <c r="E370" s="30">
        <v>47</v>
      </c>
      <c r="F370" s="30" t="s">
        <v>626</v>
      </c>
      <c r="G370" s="30" t="s">
        <v>663</v>
      </c>
      <c r="H370" s="30">
        <v>0.91629099999999997</v>
      </c>
      <c r="I370" s="30">
        <v>2.944439</v>
      </c>
      <c r="J370" s="30">
        <v>1</v>
      </c>
      <c r="K370" s="30">
        <v>0</v>
      </c>
      <c r="L370" s="30">
        <v>0</v>
      </c>
      <c r="M370" s="30">
        <v>1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1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30">
        <v>0</v>
      </c>
      <c r="AG370" s="30">
        <v>0</v>
      </c>
      <c r="AH370" s="30">
        <v>0</v>
      </c>
      <c r="AI370" s="30">
        <v>0</v>
      </c>
      <c r="AJ370" s="30">
        <v>0</v>
      </c>
      <c r="AK370" s="30">
        <v>0</v>
      </c>
      <c r="AL370" s="30">
        <v>0</v>
      </c>
      <c r="AM370" s="30">
        <v>0</v>
      </c>
      <c r="AN370" s="30">
        <v>0</v>
      </c>
      <c r="AO370" s="30">
        <v>0</v>
      </c>
      <c r="AP370" s="30">
        <v>0</v>
      </c>
      <c r="AQ370" s="30">
        <v>0</v>
      </c>
      <c r="AR370" s="30">
        <v>0</v>
      </c>
      <c r="AS370" s="30">
        <v>0</v>
      </c>
      <c r="AT370" s="30">
        <v>0</v>
      </c>
      <c r="AU370" s="30">
        <v>0</v>
      </c>
      <c r="AV370" s="30">
        <v>0</v>
      </c>
      <c r="AW370" s="30">
        <v>0</v>
      </c>
      <c r="AX370" s="30">
        <v>0</v>
      </c>
      <c r="AY370" s="30">
        <v>0</v>
      </c>
    </row>
    <row r="371" spans="1:51">
      <c r="A371" s="30" t="s">
        <v>619</v>
      </c>
      <c r="B371" s="30" t="s">
        <v>895</v>
      </c>
      <c r="C371" s="30">
        <v>3</v>
      </c>
      <c r="D371" s="30">
        <v>1335</v>
      </c>
      <c r="E371" s="30">
        <v>3947.4</v>
      </c>
      <c r="F371" s="30" t="s">
        <v>626</v>
      </c>
      <c r="G371" s="30" t="s">
        <v>663</v>
      </c>
      <c r="H371" s="30">
        <v>1.0986119999999999</v>
      </c>
      <c r="I371" s="30">
        <v>7.1966869999999998</v>
      </c>
      <c r="J371" s="30">
        <v>1</v>
      </c>
      <c r="K371" s="30">
        <v>0</v>
      </c>
      <c r="L371" s="30">
        <v>0</v>
      </c>
      <c r="M371" s="30">
        <v>1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1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30">
        <v>0</v>
      </c>
      <c r="AG371" s="30">
        <v>0</v>
      </c>
      <c r="AH371" s="30">
        <v>0</v>
      </c>
      <c r="AI371" s="30">
        <v>0</v>
      </c>
      <c r="AJ371" s="30">
        <v>0</v>
      </c>
      <c r="AK371" s="30">
        <v>0</v>
      </c>
      <c r="AL371" s="30">
        <v>0</v>
      </c>
      <c r="AM371" s="30">
        <v>0</v>
      </c>
      <c r="AN371" s="30">
        <v>0</v>
      </c>
      <c r="AO371" s="30">
        <v>0</v>
      </c>
      <c r="AP371" s="30">
        <v>0</v>
      </c>
      <c r="AQ371" s="30">
        <v>0</v>
      </c>
      <c r="AR371" s="30">
        <v>0</v>
      </c>
      <c r="AS371" s="30">
        <v>0</v>
      </c>
      <c r="AT371" s="30">
        <v>0</v>
      </c>
      <c r="AU371" s="30">
        <v>0</v>
      </c>
      <c r="AV371" s="30">
        <v>0</v>
      </c>
      <c r="AW371" s="30">
        <v>0</v>
      </c>
      <c r="AX371" s="30">
        <v>0</v>
      </c>
      <c r="AY371" s="30">
        <v>0</v>
      </c>
    </row>
    <row r="372" spans="1:51">
      <c r="A372" s="30" t="s">
        <v>619</v>
      </c>
      <c r="B372" s="30" t="s">
        <v>896</v>
      </c>
      <c r="C372" s="30">
        <v>1</v>
      </c>
      <c r="D372" s="30">
        <v>171</v>
      </c>
      <c r="E372" s="30">
        <v>171</v>
      </c>
      <c r="F372" s="30" t="s">
        <v>626</v>
      </c>
      <c r="G372" s="30" t="s">
        <v>663</v>
      </c>
      <c r="H372" s="30">
        <v>0</v>
      </c>
      <c r="I372" s="30">
        <v>5.1416639999999996</v>
      </c>
      <c r="J372" s="30">
        <v>1</v>
      </c>
      <c r="K372" s="30">
        <v>0</v>
      </c>
      <c r="L372" s="30">
        <v>0</v>
      </c>
      <c r="M372" s="30">
        <v>1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1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30">
        <v>0</v>
      </c>
      <c r="AG372" s="30">
        <v>0</v>
      </c>
      <c r="AH372" s="30">
        <v>0</v>
      </c>
      <c r="AI372" s="30">
        <v>0</v>
      </c>
      <c r="AJ372" s="30">
        <v>0</v>
      </c>
      <c r="AK372" s="30">
        <v>0</v>
      </c>
      <c r="AL372" s="30">
        <v>0</v>
      </c>
      <c r="AM372" s="30">
        <v>0</v>
      </c>
      <c r="AN372" s="30">
        <v>0</v>
      </c>
      <c r="AO372" s="30">
        <v>0</v>
      </c>
      <c r="AP372" s="30">
        <v>0</v>
      </c>
      <c r="AQ372" s="30">
        <v>0</v>
      </c>
      <c r="AR372" s="30">
        <v>0</v>
      </c>
      <c r="AS372" s="30">
        <v>0</v>
      </c>
      <c r="AT372" s="30">
        <v>0</v>
      </c>
      <c r="AU372" s="30">
        <v>0</v>
      </c>
      <c r="AV372" s="30">
        <v>0</v>
      </c>
      <c r="AW372" s="30">
        <v>0</v>
      </c>
      <c r="AX372" s="30">
        <v>0</v>
      </c>
      <c r="AY372" s="30">
        <v>0</v>
      </c>
    </row>
    <row r="373" spans="1:51">
      <c r="A373" s="30" t="s">
        <v>619</v>
      </c>
      <c r="B373" s="30" t="s">
        <v>897</v>
      </c>
      <c r="C373" s="30">
        <v>3</v>
      </c>
      <c r="D373" s="30">
        <v>1223</v>
      </c>
      <c r="E373" s="30">
        <v>3592.2</v>
      </c>
      <c r="F373" s="30" t="s">
        <v>626</v>
      </c>
      <c r="G373" s="30" t="s">
        <v>663</v>
      </c>
      <c r="H373" s="30">
        <v>1.0986119999999999</v>
      </c>
      <c r="I373" s="30">
        <v>7.1090619999999998</v>
      </c>
      <c r="J373" s="30">
        <v>1</v>
      </c>
      <c r="K373" s="30">
        <v>0</v>
      </c>
      <c r="L373" s="30">
        <v>0</v>
      </c>
      <c r="M373" s="30">
        <v>1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1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30">
        <v>0</v>
      </c>
      <c r="AG373" s="30">
        <v>0</v>
      </c>
      <c r="AH373" s="30">
        <v>0</v>
      </c>
      <c r="AI373" s="30">
        <v>0</v>
      </c>
      <c r="AJ373" s="30">
        <v>0</v>
      </c>
      <c r="AK373" s="30">
        <v>0</v>
      </c>
      <c r="AL373" s="30">
        <v>0</v>
      </c>
      <c r="AM373" s="30">
        <v>0</v>
      </c>
      <c r="AN373" s="30">
        <v>0</v>
      </c>
      <c r="AO373" s="30">
        <v>0</v>
      </c>
      <c r="AP373" s="30">
        <v>0</v>
      </c>
      <c r="AQ373" s="30">
        <v>0</v>
      </c>
      <c r="AR373" s="30">
        <v>0</v>
      </c>
      <c r="AS373" s="30">
        <v>0</v>
      </c>
      <c r="AT373" s="30">
        <v>0</v>
      </c>
      <c r="AU373" s="30">
        <v>0</v>
      </c>
      <c r="AV373" s="30">
        <v>0</v>
      </c>
      <c r="AW373" s="30">
        <v>0</v>
      </c>
      <c r="AX373" s="30">
        <v>0</v>
      </c>
      <c r="AY373" s="30">
        <v>0</v>
      </c>
    </row>
    <row r="374" spans="1:51">
      <c r="A374" s="30" t="s">
        <v>619</v>
      </c>
      <c r="B374" s="30" t="s">
        <v>898</v>
      </c>
      <c r="C374" s="30">
        <v>1</v>
      </c>
      <c r="D374" s="30">
        <v>660</v>
      </c>
      <c r="E374" s="30">
        <v>642.29999999999995</v>
      </c>
      <c r="F374" s="30" t="s">
        <v>621</v>
      </c>
      <c r="G374" s="30" t="s">
        <v>624</v>
      </c>
      <c r="H374" s="30">
        <v>0</v>
      </c>
      <c r="I374" s="30">
        <v>6.4922399999999998</v>
      </c>
      <c r="J374" s="30">
        <v>1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30">
        <v>0</v>
      </c>
      <c r="AG374" s="30">
        <v>0</v>
      </c>
      <c r="AH374" s="30">
        <v>0</v>
      </c>
      <c r="AI374" s="30">
        <v>0</v>
      </c>
      <c r="AJ374" s="30">
        <v>0</v>
      </c>
      <c r="AK374" s="30">
        <v>0</v>
      </c>
      <c r="AL374" s="30">
        <v>1</v>
      </c>
      <c r="AM374" s="30">
        <v>0</v>
      </c>
      <c r="AN374" s="30">
        <v>0</v>
      </c>
      <c r="AO374" s="30">
        <v>0</v>
      </c>
      <c r="AP374" s="30">
        <v>0</v>
      </c>
      <c r="AQ374" s="30">
        <v>0</v>
      </c>
      <c r="AR374" s="30">
        <v>0</v>
      </c>
      <c r="AS374" s="30">
        <v>0</v>
      </c>
      <c r="AT374" s="30">
        <v>0</v>
      </c>
      <c r="AU374" s="30">
        <v>0</v>
      </c>
      <c r="AV374" s="30">
        <v>0</v>
      </c>
      <c r="AW374" s="30">
        <v>0</v>
      </c>
      <c r="AX374" s="30">
        <v>0</v>
      </c>
      <c r="AY374" s="30">
        <v>0</v>
      </c>
    </row>
    <row r="375" spans="1:51">
      <c r="A375" s="30" t="s">
        <v>619</v>
      </c>
      <c r="B375" s="30" t="s">
        <v>899</v>
      </c>
      <c r="C375" s="30">
        <v>2</v>
      </c>
      <c r="D375" s="30">
        <v>477</v>
      </c>
      <c r="E375" s="30">
        <v>940.8</v>
      </c>
      <c r="F375" s="30" t="s">
        <v>626</v>
      </c>
      <c r="G375" s="30" t="s">
        <v>663</v>
      </c>
      <c r="H375" s="30">
        <v>0.69314699999999996</v>
      </c>
      <c r="I375" s="30">
        <v>6.167516</v>
      </c>
      <c r="J375" s="30">
        <v>1</v>
      </c>
      <c r="K375" s="30">
        <v>0</v>
      </c>
      <c r="L375" s="30">
        <v>0</v>
      </c>
      <c r="M375" s="30">
        <v>1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1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30">
        <v>0</v>
      </c>
      <c r="AG375" s="30">
        <v>0</v>
      </c>
      <c r="AH375" s="30">
        <v>0</v>
      </c>
      <c r="AI375" s="30">
        <v>0</v>
      </c>
      <c r="AJ375" s="30">
        <v>0</v>
      </c>
      <c r="AK375" s="30">
        <v>0</v>
      </c>
      <c r="AL375" s="30">
        <v>0</v>
      </c>
      <c r="AM375" s="30">
        <v>0</v>
      </c>
      <c r="AN375" s="30">
        <v>0</v>
      </c>
      <c r="AO375" s="30">
        <v>0</v>
      </c>
      <c r="AP375" s="30">
        <v>0</v>
      </c>
      <c r="AQ375" s="30">
        <v>0</v>
      </c>
      <c r="AR375" s="30">
        <v>0</v>
      </c>
      <c r="AS375" s="30">
        <v>0</v>
      </c>
      <c r="AT375" s="30">
        <v>0</v>
      </c>
      <c r="AU375" s="30">
        <v>0</v>
      </c>
      <c r="AV375" s="30">
        <v>0</v>
      </c>
      <c r="AW375" s="30">
        <v>0</v>
      </c>
      <c r="AX375" s="30">
        <v>0</v>
      </c>
      <c r="AY375" s="30">
        <v>0</v>
      </c>
    </row>
    <row r="376" spans="1:51">
      <c r="A376" s="30" t="s">
        <v>619</v>
      </c>
      <c r="B376" s="30" t="s">
        <v>900</v>
      </c>
      <c r="C376" s="30">
        <v>3</v>
      </c>
      <c r="D376" s="30">
        <v>693</v>
      </c>
      <c r="E376" s="30">
        <v>2079</v>
      </c>
      <c r="F376" s="30" t="s">
        <v>621</v>
      </c>
      <c r="G376" s="30" t="s">
        <v>648</v>
      </c>
      <c r="H376" s="30">
        <v>1.0986119999999999</v>
      </c>
      <c r="I376" s="30">
        <v>6.5410300000000001</v>
      </c>
      <c r="J376" s="30">
        <v>1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30">
        <v>0</v>
      </c>
      <c r="AG376" s="30">
        <v>0</v>
      </c>
      <c r="AH376" s="30">
        <v>0</v>
      </c>
      <c r="AI376" s="30">
        <v>0</v>
      </c>
      <c r="AJ376" s="30">
        <v>0</v>
      </c>
      <c r="AK376" s="30">
        <v>0</v>
      </c>
      <c r="AL376" s="30">
        <v>0</v>
      </c>
      <c r="AM376" s="30">
        <v>0</v>
      </c>
      <c r="AN376" s="30">
        <v>0</v>
      </c>
      <c r="AO376" s="30">
        <v>1</v>
      </c>
      <c r="AP376" s="30">
        <v>0</v>
      </c>
      <c r="AQ376" s="30">
        <v>0</v>
      </c>
      <c r="AR376" s="30">
        <v>0</v>
      </c>
      <c r="AS376" s="30">
        <v>0</v>
      </c>
      <c r="AT376" s="30">
        <v>0</v>
      </c>
      <c r="AU376" s="30">
        <v>0</v>
      </c>
      <c r="AV376" s="30">
        <v>0</v>
      </c>
      <c r="AW376" s="30">
        <v>0</v>
      </c>
      <c r="AX376" s="30">
        <v>0</v>
      </c>
      <c r="AY376" s="30">
        <v>0</v>
      </c>
    </row>
    <row r="377" spans="1:51">
      <c r="A377" s="30" t="s">
        <v>619</v>
      </c>
      <c r="B377" s="30" t="s">
        <v>901</v>
      </c>
      <c r="C377" s="30">
        <v>3</v>
      </c>
      <c r="D377" s="30">
        <v>107</v>
      </c>
      <c r="E377" s="30">
        <v>321</v>
      </c>
      <c r="F377" s="30" t="s">
        <v>621</v>
      </c>
      <c r="G377" s="30" t="s">
        <v>624</v>
      </c>
      <c r="H377" s="30">
        <v>1.0986119999999999</v>
      </c>
      <c r="I377" s="30">
        <v>4.6728290000000001</v>
      </c>
      <c r="J377" s="30">
        <v>1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30">
        <v>0</v>
      </c>
      <c r="AG377" s="30">
        <v>0</v>
      </c>
      <c r="AH377" s="30">
        <v>0</v>
      </c>
      <c r="AI377" s="30">
        <v>0</v>
      </c>
      <c r="AJ377" s="30">
        <v>0</v>
      </c>
      <c r="AK377" s="30">
        <v>0</v>
      </c>
      <c r="AL377" s="30">
        <v>1</v>
      </c>
      <c r="AM377" s="30">
        <v>0</v>
      </c>
      <c r="AN377" s="30">
        <v>0</v>
      </c>
      <c r="AO377" s="30">
        <v>0</v>
      </c>
      <c r="AP377" s="30">
        <v>0</v>
      </c>
      <c r="AQ377" s="30">
        <v>0</v>
      </c>
      <c r="AR377" s="30">
        <v>0</v>
      </c>
      <c r="AS377" s="30">
        <v>0</v>
      </c>
      <c r="AT377" s="30">
        <v>0</v>
      </c>
      <c r="AU377" s="30">
        <v>0</v>
      </c>
      <c r="AV377" s="30">
        <v>0</v>
      </c>
      <c r="AW377" s="30">
        <v>0</v>
      </c>
      <c r="AX377" s="30">
        <v>0</v>
      </c>
      <c r="AY377" s="30">
        <v>0</v>
      </c>
    </row>
    <row r="378" spans="1:51">
      <c r="A378" s="30" t="s">
        <v>619</v>
      </c>
      <c r="B378" s="30" t="s">
        <v>902</v>
      </c>
      <c r="C378" s="30">
        <v>4</v>
      </c>
      <c r="D378" s="30">
        <v>13</v>
      </c>
      <c r="E378" s="30">
        <v>52</v>
      </c>
      <c r="F378" s="30" t="s">
        <v>626</v>
      </c>
      <c r="G378" s="30" t="s">
        <v>879</v>
      </c>
      <c r="H378" s="30">
        <v>1.3862939999999999</v>
      </c>
      <c r="I378" s="30">
        <v>2.5649489999999999</v>
      </c>
      <c r="J378" s="30">
        <v>1</v>
      </c>
      <c r="K378" s="30">
        <v>0</v>
      </c>
      <c r="L378" s="30">
        <v>0</v>
      </c>
      <c r="M378" s="30">
        <v>1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30">
        <v>0</v>
      </c>
      <c r="AG378" s="30">
        <v>1</v>
      </c>
      <c r="AH378" s="30">
        <v>0</v>
      </c>
      <c r="AI378" s="30">
        <v>0</v>
      </c>
      <c r="AJ378" s="30">
        <v>0</v>
      </c>
      <c r="AK378" s="30">
        <v>0</v>
      </c>
      <c r="AL378" s="30">
        <v>0</v>
      </c>
      <c r="AM378" s="30">
        <v>0</v>
      </c>
      <c r="AN378" s="30">
        <v>0</v>
      </c>
      <c r="AO378" s="30">
        <v>0</v>
      </c>
      <c r="AP378" s="30">
        <v>0</v>
      </c>
      <c r="AQ378" s="30">
        <v>0</v>
      </c>
      <c r="AR378" s="30">
        <v>0</v>
      </c>
      <c r="AS378" s="30">
        <v>0</v>
      </c>
      <c r="AT378" s="30">
        <v>0</v>
      </c>
      <c r="AU378" s="30">
        <v>0</v>
      </c>
      <c r="AV378" s="30">
        <v>0</v>
      </c>
      <c r="AW378" s="30">
        <v>0</v>
      </c>
      <c r="AX378" s="30">
        <v>0</v>
      </c>
      <c r="AY378" s="30">
        <v>0</v>
      </c>
    </row>
    <row r="379" spans="1:51">
      <c r="A379" s="30" t="s">
        <v>619</v>
      </c>
      <c r="B379" s="30" t="s">
        <v>903</v>
      </c>
      <c r="C379" s="30">
        <v>3</v>
      </c>
      <c r="D379" s="30">
        <v>930</v>
      </c>
      <c r="E379" s="30">
        <v>2774.4</v>
      </c>
      <c r="F379" s="30" t="s">
        <v>626</v>
      </c>
      <c r="G379" s="30" t="s">
        <v>663</v>
      </c>
      <c r="H379" s="30">
        <v>1.0986119999999999</v>
      </c>
      <c r="I379" s="30">
        <v>6.8351850000000001</v>
      </c>
      <c r="J379" s="30">
        <v>1</v>
      </c>
      <c r="K379" s="30">
        <v>0</v>
      </c>
      <c r="L379" s="30">
        <v>0</v>
      </c>
      <c r="M379" s="30">
        <v>1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1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30">
        <v>0</v>
      </c>
      <c r="AG379" s="30">
        <v>0</v>
      </c>
      <c r="AH379" s="30">
        <v>0</v>
      </c>
      <c r="AI379" s="30">
        <v>0</v>
      </c>
      <c r="AJ379" s="30">
        <v>0</v>
      </c>
      <c r="AK379" s="30">
        <v>0</v>
      </c>
      <c r="AL379" s="30">
        <v>0</v>
      </c>
      <c r="AM379" s="30">
        <v>0</v>
      </c>
      <c r="AN379" s="30">
        <v>0</v>
      </c>
      <c r="AO379" s="30">
        <v>0</v>
      </c>
      <c r="AP379" s="30">
        <v>0</v>
      </c>
      <c r="AQ379" s="30">
        <v>0</v>
      </c>
      <c r="AR379" s="30">
        <v>0</v>
      </c>
      <c r="AS379" s="30">
        <v>0</v>
      </c>
      <c r="AT379" s="30">
        <v>0</v>
      </c>
      <c r="AU379" s="30">
        <v>0</v>
      </c>
      <c r="AV379" s="30">
        <v>0</v>
      </c>
      <c r="AW379" s="30">
        <v>0</v>
      </c>
      <c r="AX379" s="30">
        <v>0</v>
      </c>
      <c r="AY379" s="30">
        <v>0</v>
      </c>
    </row>
    <row r="380" spans="1:51">
      <c r="A380" s="30" t="s">
        <v>619</v>
      </c>
      <c r="B380" s="30" t="s">
        <v>904</v>
      </c>
      <c r="C380" s="30">
        <v>4</v>
      </c>
      <c r="D380" s="30">
        <v>1385</v>
      </c>
      <c r="E380" s="30">
        <v>5514.4</v>
      </c>
      <c r="F380" s="30" t="s">
        <v>626</v>
      </c>
      <c r="G380" s="30" t="s">
        <v>663</v>
      </c>
      <c r="H380" s="30">
        <v>1.3862939999999999</v>
      </c>
      <c r="I380" s="30">
        <v>7.2334550000000002</v>
      </c>
      <c r="J380" s="30">
        <v>1</v>
      </c>
      <c r="K380" s="30">
        <v>0</v>
      </c>
      <c r="L380" s="30">
        <v>0</v>
      </c>
      <c r="M380" s="30">
        <v>1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1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30">
        <v>0</v>
      </c>
      <c r="AG380" s="30">
        <v>0</v>
      </c>
      <c r="AH380" s="30">
        <v>0</v>
      </c>
      <c r="AI380" s="30">
        <v>0</v>
      </c>
      <c r="AJ380" s="30">
        <v>0</v>
      </c>
      <c r="AK380" s="30">
        <v>0</v>
      </c>
      <c r="AL380" s="30">
        <v>0</v>
      </c>
      <c r="AM380" s="30">
        <v>0</v>
      </c>
      <c r="AN380" s="30">
        <v>0</v>
      </c>
      <c r="AO380" s="30">
        <v>0</v>
      </c>
      <c r="AP380" s="30">
        <v>0</v>
      </c>
      <c r="AQ380" s="30">
        <v>0</v>
      </c>
      <c r="AR380" s="30">
        <v>0</v>
      </c>
      <c r="AS380" s="30">
        <v>0</v>
      </c>
      <c r="AT380" s="30">
        <v>0</v>
      </c>
      <c r="AU380" s="30">
        <v>0</v>
      </c>
      <c r="AV380" s="30">
        <v>0</v>
      </c>
      <c r="AW380" s="30">
        <v>0</v>
      </c>
      <c r="AX380" s="30">
        <v>0</v>
      </c>
      <c r="AY380" s="30">
        <v>0</v>
      </c>
    </row>
    <row r="381" spans="1:51">
      <c r="A381" s="30" t="s">
        <v>619</v>
      </c>
      <c r="B381" s="30" t="s">
        <v>905</v>
      </c>
      <c r="C381" s="30">
        <v>7</v>
      </c>
      <c r="D381" s="30">
        <v>1520</v>
      </c>
      <c r="E381" s="30">
        <v>10637.2</v>
      </c>
      <c r="F381" s="30" t="s">
        <v>621</v>
      </c>
      <c r="G381" s="30" t="s">
        <v>737</v>
      </c>
      <c r="H381" s="30">
        <v>1.94591</v>
      </c>
      <c r="I381" s="30">
        <v>7.3264659999999999</v>
      </c>
      <c r="J381" s="30">
        <v>1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1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30">
        <v>0</v>
      </c>
      <c r="AG381" s="30">
        <v>0</v>
      </c>
      <c r="AH381" s="30">
        <v>0</v>
      </c>
      <c r="AI381" s="30">
        <v>0</v>
      </c>
      <c r="AJ381" s="30">
        <v>0</v>
      </c>
      <c r="AK381" s="30">
        <v>0</v>
      </c>
      <c r="AL381" s="30">
        <v>0</v>
      </c>
      <c r="AM381" s="30">
        <v>0</v>
      </c>
      <c r="AN381" s="30">
        <v>0</v>
      </c>
      <c r="AO381" s="30">
        <v>0</v>
      </c>
      <c r="AP381" s="30">
        <v>0</v>
      </c>
      <c r="AQ381" s="30">
        <v>0</v>
      </c>
      <c r="AR381" s="30">
        <v>0</v>
      </c>
      <c r="AS381" s="30">
        <v>0</v>
      </c>
      <c r="AT381" s="30">
        <v>0</v>
      </c>
      <c r="AU381" s="30">
        <v>0</v>
      </c>
      <c r="AV381" s="30">
        <v>0</v>
      </c>
      <c r="AW381" s="30">
        <v>0</v>
      </c>
      <c r="AX381" s="30">
        <v>0</v>
      </c>
      <c r="AY381" s="30">
        <v>0</v>
      </c>
    </row>
    <row r="382" spans="1:51">
      <c r="A382" s="30" t="s">
        <v>619</v>
      </c>
      <c r="B382" s="30" t="s">
        <v>906</v>
      </c>
      <c r="C382" s="30">
        <v>5</v>
      </c>
      <c r="D382" s="30">
        <v>2276</v>
      </c>
      <c r="E382" s="30">
        <v>11368</v>
      </c>
      <c r="F382" s="30" t="s">
        <v>621</v>
      </c>
      <c r="G382" s="30" t="s">
        <v>737</v>
      </c>
      <c r="H382" s="30">
        <v>1.6094379999999999</v>
      </c>
      <c r="I382" s="30">
        <v>7.730175</v>
      </c>
      <c r="J382" s="30">
        <v>1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1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30">
        <v>0</v>
      </c>
      <c r="AG382" s="30">
        <v>0</v>
      </c>
      <c r="AH382" s="30">
        <v>0</v>
      </c>
      <c r="AI382" s="30">
        <v>0</v>
      </c>
      <c r="AJ382" s="30">
        <v>0</v>
      </c>
      <c r="AK382" s="30">
        <v>0</v>
      </c>
      <c r="AL382" s="30">
        <v>0</v>
      </c>
      <c r="AM382" s="30">
        <v>0</v>
      </c>
      <c r="AN382" s="30">
        <v>0</v>
      </c>
      <c r="AO382" s="30">
        <v>0</v>
      </c>
      <c r="AP382" s="30">
        <v>0</v>
      </c>
      <c r="AQ382" s="30">
        <v>0</v>
      </c>
      <c r="AR382" s="30">
        <v>0</v>
      </c>
      <c r="AS382" s="30">
        <v>0</v>
      </c>
      <c r="AT382" s="30">
        <v>0</v>
      </c>
      <c r="AU382" s="30">
        <v>0</v>
      </c>
      <c r="AV382" s="30">
        <v>0</v>
      </c>
      <c r="AW382" s="30">
        <v>0</v>
      </c>
      <c r="AX382" s="30">
        <v>0</v>
      </c>
      <c r="AY382" s="30">
        <v>0</v>
      </c>
    </row>
    <row r="383" spans="1:51">
      <c r="A383" s="30" t="s">
        <v>619</v>
      </c>
      <c r="B383" s="30" t="s">
        <v>907</v>
      </c>
      <c r="C383" s="30">
        <v>6</v>
      </c>
      <c r="D383" s="30">
        <v>840</v>
      </c>
      <c r="E383" s="30">
        <v>5040</v>
      </c>
      <c r="F383" s="30" t="s">
        <v>621</v>
      </c>
      <c r="G383" s="30" t="s">
        <v>648</v>
      </c>
      <c r="H383" s="30">
        <v>1.7917590000000001</v>
      </c>
      <c r="I383" s="30">
        <v>6.7334019999999999</v>
      </c>
      <c r="J383" s="30">
        <v>1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30">
        <v>0</v>
      </c>
      <c r="AG383" s="30">
        <v>0</v>
      </c>
      <c r="AH383" s="30">
        <v>0</v>
      </c>
      <c r="AI383" s="30">
        <v>0</v>
      </c>
      <c r="AJ383" s="30">
        <v>0</v>
      </c>
      <c r="AK383" s="30">
        <v>0</v>
      </c>
      <c r="AL383" s="30">
        <v>0</v>
      </c>
      <c r="AM383" s="30">
        <v>0</v>
      </c>
      <c r="AN383" s="30">
        <v>0</v>
      </c>
      <c r="AO383" s="30">
        <v>1</v>
      </c>
      <c r="AP383" s="30">
        <v>0</v>
      </c>
      <c r="AQ383" s="30">
        <v>0</v>
      </c>
      <c r="AR383" s="30">
        <v>0</v>
      </c>
      <c r="AS383" s="30">
        <v>0</v>
      </c>
      <c r="AT383" s="30">
        <v>0</v>
      </c>
      <c r="AU383" s="30">
        <v>0</v>
      </c>
      <c r="AV383" s="30">
        <v>0</v>
      </c>
      <c r="AW383" s="30">
        <v>0</v>
      </c>
      <c r="AX383" s="30">
        <v>0</v>
      </c>
      <c r="AY383" s="30">
        <v>0</v>
      </c>
    </row>
    <row r="384" spans="1:51">
      <c r="A384" s="30" t="s">
        <v>619</v>
      </c>
      <c r="B384" s="30" t="s">
        <v>908</v>
      </c>
      <c r="C384" s="30">
        <v>3</v>
      </c>
      <c r="D384" s="30">
        <v>18</v>
      </c>
      <c r="E384" s="30">
        <v>54</v>
      </c>
      <c r="F384" s="30" t="s">
        <v>626</v>
      </c>
      <c r="G384" s="30" t="s">
        <v>879</v>
      </c>
      <c r="H384" s="30">
        <v>1.0986119999999999</v>
      </c>
      <c r="I384" s="30">
        <v>2.8903720000000002</v>
      </c>
      <c r="J384" s="30">
        <v>1</v>
      </c>
      <c r="K384" s="30">
        <v>0</v>
      </c>
      <c r="L384" s="30">
        <v>0</v>
      </c>
      <c r="M384" s="30">
        <v>1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30">
        <v>0</v>
      </c>
      <c r="AG384" s="30">
        <v>1</v>
      </c>
      <c r="AH384" s="30">
        <v>0</v>
      </c>
      <c r="AI384" s="30">
        <v>0</v>
      </c>
      <c r="AJ384" s="30">
        <v>0</v>
      </c>
      <c r="AK384" s="30">
        <v>0</v>
      </c>
      <c r="AL384" s="30">
        <v>0</v>
      </c>
      <c r="AM384" s="30">
        <v>0</v>
      </c>
      <c r="AN384" s="30">
        <v>0</v>
      </c>
      <c r="AO384" s="30">
        <v>0</v>
      </c>
      <c r="AP384" s="30">
        <v>0</v>
      </c>
      <c r="AQ384" s="30">
        <v>0</v>
      </c>
      <c r="AR384" s="30">
        <v>0</v>
      </c>
      <c r="AS384" s="30">
        <v>0</v>
      </c>
      <c r="AT384" s="30">
        <v>0</v>
      </c>
      <c r="AU384" s="30">
        <v>0</v>
      </c>
      <c r="AV384" s="30">
        <v>0</v>
      </c>
      <c r="AW384" s="30">
        <v>0</v>
      </c>
      <c r="AX384" s="30">
        <v>0</v>
      </c>
      <c r="AY384" s="30">
        <v>0</v>
      </c>
    </row>
    <row r="385" spans="1:51">
      <c r="A385" s="30" t="s">
        <v>619</v>
      </c>
      <c r="B385" s="30" t="s">
        <v>909</v>
      </c>
      <c r="C385" s="30">
        <v>3</v>
      </c>
      <c r="D385" s="30">
        <v>2487</v>
      </c>
      <c r="E385" s="30">
        <v>7461</v>
      </c>
      <c r="F385" s="30" t="s">
        <v>626</v>
      </c>
      <c r="G385" s="30" t="s">
        <v>879</v>
      </c>
      <c r="H385" s="30">
        <v>1.0986119999999999</v>
      </c>
      <c r="I385" s="30">
        <v>7.8188319999999996</v>
      </c>
      <c r="J385" s="30">
        <v>1</v>
      </c>
      <c r="K385" s="30">
        <v>0</v>
      </c>
      <c r="L385" s="30">
        <v>0</v>
      </c>
      <c r="M385" s="30">
        <v>1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30">
        <v>0</v>
      </c>
      <c r="AG385" s="30">
        <v>1</v>
      </c>
      <c r="AH385" s="30">
        <v>0</v>
      </c>
      <c r="AI385" s="30">
        <v>0</v>
      </c>
      <c r="AJ385" s="30">
        <v>0</v>
      </c>
      <c r="AK385" s="30">
        <v>0</v>
      </c>
      <c r="AL385" s="30">
        <v>0</v>
      </c>
      <c r="AM385" s="30">
        <v>0</v>
      </c>
      <c r="AN385" s="30">
        <v>0</v>
      </c>
      <c r="AO385" s="30">
        <v>0</v>
      </c>
      <c r="AP385" s="30">
        <v>0</v>
      </c>
      <c r="AQ385" s="30">
        <v>0</v>
      </c>
      <c r="AR385" s="30">
        <v>0</v>
      </c>
      <c r="AS385" s="30">
        <v>0</v>
      </c>
      <c r="AT385" s="30">
        <v>0</v>
      </c>
      <c r="AU385" s="30">
        <v>0</v>
      </c>
      <c r="AV385" s="30">
        <v>0</v>
      </c>
      <c r="AW385" s="30">
        <v>0</v>
      </c>
      <c r="AX385" s="30">
        <v>0</v>
      </c>
      <c r="AY385" s="30">
        <v>0</v>
      </c>
    </row>
    <row r="386" spans="1:51">
      <c r="A386" s="30" t="s">
        <v>619</v>
      </c>
      <c r="B386" s="30" t="s">
        <v>910</v>
      </c>
      <c r="C386" s="30">
        <v>8</v>
      </c>
      <c r="D386" s="30">
        <v>145</v>
      </c>
      <c r="E386" s="30">
        <v>1160</v>
      </c>
      <c r="F386" s="30" t="s">
        <v>626</v>
      </c>
      <c r="G386" s="30" t="s">
        <v>879</v>
      </c>
      <c r="H386" s="30">
        <v>2.0794419999999998</v>
      </c>
      <c r="I386" s="30">
        <v>4.9767340000000004</v>
      </c>
      <c r="J386" s="30">
        <v>1</v>
      </c>
      <c r="K386" s="30">
        <v>0</v>
      </c>
      <c r="L386" s="30">
        <v>0</v>
      </c>
      <c r="M386" s="30">
        <v>1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30">
        <v>0</v>
      </c>
      <c r="AG386" s="30">
        <v>1</v>
      </c>
      <c r="AH386" s="30">
        <v>0</v>
      </c>
      <c r="AI386" s="30">
        <v>0</v>
      </c>
      <c r="AJ386" s="30">
        <v>0</v>
      </c>
      <c r="AK386" s="30">
        <v>0</v>
      </c>
      <c r="AL386" s="30">
        <v>0</v>
      </c>
      <c r="AM386" s="30">
        <v>0</v>
      </c>
      <c r="AN386" s="30">
        <v>0</v>
      </c>
      <c r="AO386" s="30">
        <v>0</v>
      </c>
      <c r="AP386" s="30">
        <v>0</v>
      </c>
      <c r="AQ386" s="30">
        <v>0</v>
      </c>
      <c r="AR386" s="30">
        <v>0</v>
      </c>
      <c r="AS386" s="30">
        <v>0</v>
      </c>
      <c r="AT386" s="30">
        <v>0</v>
      </c>
      <c r="AU386" s="30">
        <v>0</v>
      </c>
      <c r="AV386" s="30">
        <v>0</v>
      </c>
      <c r="AW386" s="30">
        <v>0</v>
      </c>
      <c r="AX386" s="30">
        <v>0</v>
      </c>
      <c r="AY386" s="30">
        <v>0</v>
      </c>
    </row>
    <row r="387" spans="1:51">
      <c r="A387" s="30" t="s">
        <v>619</v>
      </c>
      <c r="B387" s="30" t="s">
        <v>911</v>
      </c>
      <c r="C387" s="30">
        <v>5</v>
      </c>
      <c r="D387" s="30">
        <v>933</v>
      </c>
      <c r="E387" s="30">
        <v>4665</v>
      </c>
      <c r="F387" s="30" t="s">
        <v>621</v>
      </c>
      <c r="G387" s="30" t="s">
        <v>648</v>
      </c>
      <c r="H387" s="30">
        <v>1.6094379999999999</v>
      </c>
      <c r="I387" s="30">
        <v>6.8384049999999998</v>
      </c>
      <c r="J387" s="30">
        <v>1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30">
        <v>0</v>
      </c>
      <c r="AG387" s="30">
        <v>0</v>
      </c>
      <c r="AH387" s="30">
        <v>0</v>
      </c>
      <c r="AI387" s="30">
        <v>0</v>
      </c>
      <c r="AJ387" s="30">
        <v>0</v>
      </c>
      <c r="AK387" s="30">
        <v>0</v>
      </c>
      <c r="AL387" s="30">
        <v>0</v>
      </c>
      <c r="AM387" s="30">
        <v>0</v>
      </c>
      <c r="AN387" s="30">
        <v>0</v>
      </c>
      <c r="AO387" s="30">
        <v>1</v>
      </c>
      <c r="AP387" s="30">
        <v>0</v>
      </c>
      <c r="AQ387" s="30">
        <v>0</v>
      </c>
      <c r="AR387" s="30">
        <v>0</v>
      </c>
      <c r="AS387" s="30">
        <v>0</v>
      </c>
      <c r="AT387" s="30">
        <v>0</v>
      </c>
      <c r="AU387" s="30">
        <v>0</v>
      </c>
      <c r="AV387" s="30">
        <v>0</v>
      </c>
      <c r="AW387" s="30">
        <v>0</v>
      </c>
      <c r="AX387" s="30">
        <v>0</v>
      </c>
      <c r="AY387" s="30">
        <v>0</v>
      </c>
    </row>
    <row r="388" spans="1:51">
      <c r="A388" s="30" t="s">
        <v>619</v>
      </c>
      <c r="B388" s="30" t="s">
        <v>912</v>
      </c>
      <c r="C388" s="30">
        <v>2.5</v>
      </c>
      <c r="D388" s="30">
        <v>638</v>
      </c>
      <c r="E388" s="30">
        <v>1595</v>
      </c>
      <c r="F388" s="30" t="s">
        <v>626</v>
      </c>
      <c r="G388" s="30" t="s">
        <v>663</v>
      </c>
      <c r="H388" s="30">
        <v>0.91629099999999997</v>
      </c>
      <c r="I388" s="30">
        <v>6.4583380000000004</v>
      </c>
      <c r="J388" s="30">
        <v>1</v>
      </c>
      <c r="K388" s="30">
        <v>0</v>
      </c>
      <c r="L388" s="30">
        <v>0</v>
      </c>
      <c r="M388" s="30">
        <v>1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1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30">
        <v>0</v>
      </c>
      <c r="AG388" s="30">
        <v>0</v>
      </c>
      <c r="AH388" s="30">
        <v>0</v>
      </c>
      <c r="AI388" s="30">
        <v>0</v>
      </c>
      <c r="AJ388" s="30">
        <v>0</v>
      </c>
      <c r="AK388" s="30">
        <v>0</v>
      </c>
      <c r="AL388" s="30">
        <v>0</v>
      </c>
      <c r="AM388" s="30">
        <v>0</v>
      </c>
      <c r="AN388" s="30">
        <v>0</v>
      </c>
      <c r="AO388" s="30">
        <v>0</v>
      </c>
      <c r="AP388" s="30">
        <v>0</v>
      </c>
      <c r="AQ388" s="30">
        <v>0</v>
      </c>
      <c r="AR388" s="30">
        <v>0</v>
      </c>
      <c r="AS388" s="30">
        <v>0</v>
      </c>
      <c r="AT388" s="30">
        <v>0</v>
      </c>
      <c r="AU388" s="30">
        <v>0</v>
      </c>
      <c r="AV388" s="30">
        <v>0</v>
      </c>
      <c r="AW388" s="30">
        <v>0</v>
      </c>
      <c r="AX388" s="30">
        <v>0</v>
      </c>
      <c r="AY388" s="30">
        <v>0</v>
      </c>
    </row>
    <row r="389" spans="1:51">
      <c r="A389" s="30" t="s">
        <v>619</v>
      </c>
      <c r="B389" s="30" t="s">
        <v>913</v>
      </c>
      <c r="C389" s="30">
        <v>3</v>
      </c>
      <c r="D389" s="30">
        <v>119</v>
      </c>
      <c r="E389" s="30">
        <v>357</v>
      </c>
      <c r="F389" s="30" t="s">
        <v>626</v>
      </c>
      <c r="G389" s="30" t="s">
        <v>663</v>
      </c>
      <c r="H389" s="30">
        <v>1.0986119999999999</v>
      </c>
      <c r="I389" s="30">
        <v>4.7791230000000002</v>
      </c>
      <c r="J389" s="30">
        <v>1</v>
      </c>
      <c r="K389" s="30">
        <v>0</v>
      </c>
      <c r="L389" s="30">
        <v>0</v>
      </c>
      <c r="M389" s="30">
        <v>1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1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30">
        <v>0</v>
      </c>
      <c r="AG389" s="30">
        <v>0</v>
      </c>
      <c r="AH389" s="30">
        <v>0</v>
      </c>
      <c r="AI389" s="30">
        <v>0</v>
      </c>
      <c r="AJ389" s="30">
        <v>0</v>
      </c>
      <c r="AK389" s="30">
        <v>0</v>
      </c>
      <c r="AL389" s="30">
        <v>0</v>
      </c>
      <c r="AM389" s="30">
        <v>0</v>
      </c>
      <c r="AN389" s="30">
        <v>0</v>
      </c>
      <c r="AO389" s="30">
        <v>0</v>
      </c>
      <c r="AP389" s="30">
        <v>0</v>
      </c>
      <c r="AQ389" s="30">
        <v>0</v>
      </c>
      <c r="AR389" s="30">
        <v>0</v>
      </c>
      <c r="AS389" s="30">
        <v>0</v>
      </c>
      <c r="AT389" s="30">
        <v>0</v>
      </c>
      <c r="AU389" s="30">
        <v>0</v>
      </c>
      <c r="AV389" s="30">
        <v>0</v>
      </c>
      <c r="AW389" s="30">
        <v>0</v>
      </c>
      <c r="AX389" s="30">
        <v>0</v>
      </c>
      <c r="AY389" s="30">
        <v>0</v>
      </c>
    </row>
    <row r="390" spans="1:51">
      <c r="A390" s="30" t="s">
        <v>619</v>
      </c>
      <c r="B390" s="30" t="s">
        <v>914</v>
      </c>
      <c r="C390" s="30">
        <v>3</v>
      </c>
      <c r="D390" s="30">
        <v>350</v>
      </c>
      <c r="E390" s="30">
        <v>1050</v>
      </c>
      <c r="F390" s="30" t="s">
        <v>626</v>
      </c>
      <c r="G390" s="30" t="s">
        <v>663</v>
      </c>
      <c r="H390" s="30">
        <v>1.0986119999999999</v>
      </c>
      <c r="I390" s="30">
        <v>5.8579330000000001</v>
      </c>
      <c r="J390" s="30">
        <v>1</v>
      </c>
      <c r="K390" s="30">
        <v>0</v>
      </c>
      <c r="L390" s="30">
        <v>0</v>
      </c>
      <c r="M390" s="30">
        <v>1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1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30">
        <v>0</v>
      </c>
      <c r="AG390" s="30">
        <v>0</v>
      </c>
      <c r="AH390" s="30">
        <v>0</v>
      </c>
      <c r="AI390" s="30">
        <v>0</v>
      </c>
      <c r="AJ390" s="30">
        <v>0</v>
      </c>
      <c r="AK390" s="30">
        <v>0</v>
      </c>
      <c r="AL390" s="30">
        <v>0</v>
      </c>
      <c r="AM390" s="30">
        <v>0</v>
      </c>
      <c r="AN390" s="30">
        <v>0</v>
      </c>
      <c r="AO390" s="30">
        <v>0</v>
      </c>
      <c r="AP390" s="30">
        <v>0</v>
      </c>
      <c r="AQ390" s="30">
        <v>0</v>
      </c>
      <c r="AR390" s="30">
        <v>0</v>
      </c>
      <c r="AS390" s="30">
        <v>0</v>
      </c>
      <c r="AT390" s="30">
        <v>0</v>
      </c>
      <c r="AU390" s="30">
        <v>0</v>
      </c>
      <c r="AV390" s="30">
        <v>0</v>
      </c>
      <c r="AW390" s="30">
        <v>0</v>
      </c>
      <c r="AX390" s="30">
        <v>0</v>
      </c>
      <c r="AY390" s="30">
        <v>0</v>
      </c>
    </row>
    <row r="391" spans="1:51">
      <c r="A391" s="30" t="s">
        <v>619</v>
      </c>
      <c r="B391" s="30" t="s">
        <v>915</v>
      </c>
      <c r="C391" s="30">
        <v>3</v>
      </c>
      <c r="D391" s="30">
        <v>385</v>
      </c>
      <c r="E391" s="30">
        <v>1152.5999999999999</v>
      </c>
      <c r="F391" s="30" t="s">
        <v>626</v>
      </c>
      <c r="G391" s="30" t="s">
        <v>663</v>
      </c>
      <c r="H391" s="30">
        <v>1.0986119999999999</v>
      </c>
      <c r="I391" s="30">
        <v>5.9532429999999996</v>
      </c>
      <c r="J391" s="30">
        <v>1</v>
      </c>
      <c r="K391" s="30">
        <v>0</v>
      </c>
      <c r="L391" s="30">
        <v>0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1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30">
        <v>0</v>
      </c>
      <c r="AG391" s="30">
        <v>0</v>
      </c>
      <c r="AH391" s="30">
        <v>0</v>
      </c>
      <c r="AI391" s="30">
        <v>0</v>
      </c>
      <c r="AJ391" s="30">
        <v>0</v>
      </c>
      <c r="AK391" s="30">
        <v>0</v>
      </c>
      <c r="AL391" s="30">
        <v>0</v>
      </c>
      <c r="AM391" s="30">
        <v>0</v>
      </c>
      <c r="AN391" s="30">
        <v>0</v>
      </c>
      <c r="AO391" s="30">
        <v>0</v>
      </c>
      <c r="AP391" s="30">
        <v>0</v>
      </c>
      <c r="AQ391" s="30">
        <v>0</v>
      </c>
      <c r="AR391" s="30">
        <v>0</v>
      </c>
      <c r="AS391" s="30">
        <v>0</v>
      </c>
      <c r="AT391" s="30">
        <v>0</v>
      </c>
      <c r="AU391" s="30">
        <v>0</v>
      </c>
      <c r="AV391" s="30">
        <v>0</v>
      </c>
      <c r="AW391" s="30">
        <v>0</v>
      </c>
      <c r="AX391" s="30">
        <v>0</v>
      </c>
      <c r="AY391" s="30">
        <v>0</v>
      </c>
    </row>
    <row r="392" spans="1:51">
      <c r="A392" s="30" t="s">
        <v>619</v>
      </c>
      <c r="B392" s="30" t="s">
        <v>916</v>
      </c>
      <c r="C392" s="30">
        <v>3</v>
      </c>
      <c r="D392" s="30">
        <v>279</v>
      </c>
      <c r="E392" s="30">
        <v>835.2</v>
      </c>
      <c r="F392" s="30" t="s">
        <v>626</v>
      </c>
      <c r="G392" s="30" t="s">
        <v>663</v>
      </c>
      <c r="H392" s="30">
        <v>1.0986119999999999</v>
      </c>
      <c r="I392" s="30">
        <v>5.6312119999999997</v>
      </c>
      <c r="J392" s="30">
        <v>1</v>
      </c>
      <c r="K392" s="30">
        <v>0</v>
      </c>
      <c r="L392" s="30">
        <v>0</v>
      </c>
      <c r="M392" s="30">
        <v>1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1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30">
        <v>0</v>
      </c>
      <c r="AG392" s="30">
        <v>0</v>
      </c>
      <c r="AH392" s="30">
        <v>0</v>
      </c>
      <c r="AI392" s="30">
        <v>0</v>
      </c>
      <c r="AJ392" s="30">
        <v>0</v>
      </c>
      <c r="AK392" s="30">
        <v>0</v>
      </c>
      <c r="AL392" s="30">
        <v>0</v>
      </c>
      <c r="AM392" s="30">
        <v>0</v>
      </c>
      <c r="AN392" s="30">
        <v>0</v>
      </c>
      <c r="AO392" s="30">
        <v>0</v>
      </c>
      <c r="AP392" s="30">
        <v>0</v>
      </c>
      <c r="AQ392" s="30">
        <v>0</v>
      </c>
      <c r="AR392" s="30">
        <v>0</v>
      </c>
      <c r="AS392" s="30">
        <v>0</v>
      </c>
      <c r="AT392" s="30">
        <v>0</v>
      </c>
      <c r="AU392" s="30">
        <v>0</v>
      </c>
      <c r="AV392" s="30">
        <v>0</v>
      </c>
      <c r="AW392" s="30">
        <v>0</v>
      </c>
      <c r="AX392" s="30">
        <v>0</v>
      </c>
      <c r="AY392" s="30">
        <v>0</v>
      </c>
    </row>
    <row r="393" spans="1:51">
      <c r="A393" s="30" t="s">
        <v>619</v>
      </c>
      <c r="B393" s="30" t="s">
        <v>917</v>
      </c>
      <c r="C393" s="30">
        <v>3</v>
      </c>
      <c r="D393" s="30">
        <v>661</v>
      </c>
      <c r="E393" s="30">
        <v>1982.4</v>
      </c>
      <c r="F393" s="30" t="s">
        <v>626</v>
      </c>
      <c r="G393" s="30" t="s">
        <v>663</v>
      </c>
      <c r="H393" s="30">
        <v>1.0986119999999999</v>
      </c>
      <c r="I393" s="30">
        <v>6.493754</v>
      </c>
      <c r="J393" s="30">
        <v>1</v>
      </c>
      <c r="K393" s="30">
        <v>0</v>
      </c>
      <c r="L393" s="30">
        <v>0</v>
      </c>
      <c r="M393" s="30">
        <v>1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1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30">
        <v>0</v>
      </c>
      <c r="AG393" s="30">
        <v>0</v>
      </c>
      <c r="AH393" s="30">
        <v>0</v>
      </c>
      <c r="AI393" s="30">
        <v>0</v>
      </c>
      <c r="AJ393" s="30">
        <v>0</v>
      </c>
      <c r="AK393" s="30">
        <v>0</v>
      </c>
      <c r="AL393" s="30">
        <v>0</v>
      </c>
      <c r="AM393" s="30">
        <v>0</v>
      </c>
      <c r="AN393" s="30">
        <v>0</v>
      </c>
      <c r="AO393" s="30">
        <v>0</v>
      </c>
      <c r="AP393" s="30">
        <v>0</v>
      </c>
      <c r="AQ393" s="30">
        <v>0</v>
      </c>
      <c r="AR393" s="30">
        <v>0</v>
      </c>
      <c r="AS393" s="30">
        <v>0</v>
      </c>
      <c r="AT393" s="30">
        <v>0</v>
      </c>
      <c r="AU393" s="30">
        <v>0</v>
      </c>
      <c r="AV393" s="30">
        <v>0</v>
      </c>
      <c r="AW393" s="30">
        <v>0</v>
      </c>
      <c r="AX393" s="30">
        <v>0</v>
      </c>
      <c r="AY393" s="30">
        <v>0</v>
      </c>
    </row>
    <row r="394" spans="1:51">
      <c r="A394" s="30" t="s">
        <v>619</v>
      </c>
      <c r="B394" s="30" t="s">
        <v>918</v>
      </c>
      <c r="C394" s="30">
        <v>8</v>
      </c>
      <c r="D394" s="30">
        <v>553</v>
      </c>
      <c r="E394" s="30">
        <v>4424</v>
      </c>
      <c r="F394" s="30" t="s">
        <v>621</v>
      </c>
      <c r="G394" s="30" t="s">
        <v>624</v>
      </c>
      <c r="H394" s="30">
        <v>2.0794419999999998</v>
      </c>
      <c r="I394" s="30">
        <v>6.3153579999999998</v>
      </c>
      <c r="J394" s="30">
        <v>1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30">
        <v>0</v>
      </c>
      <c r="AG394" s="30">
        <v>0</v>
      </c>
      <c r="AH394" s="30">
        <v>0</v>
      </c>
      <c r="AI394" s="30">
        <v>0</v>
      </c>
      <c r="AJ394" s="30">
        <v>0</v>
      </c>
      <c r="AK394" s="30">
        <v>0</v>
      </c>
      <c r="AL394" s="30">
        <v>1</v>
      </c>
      <c r="AM394" s="30">
        <v>0</v>
      </c>
      <c r="AN394" s="30">
        <v>0</v>
      </c>
      <c r="AO394" s="30">
        <v>0</v>
      </c>
      <c r="AP394" s="30">
        <v>0</v>
      </c>
      <c r="AQ394" s="30">
        <v>0</v>
      </c>
      <c r="AR394" s="30">
        <v>0</v>
      </c>
      <c r="AS394" s="30">
        <v>0</v>
      </c>
      <c r="AT394" s="30">
        <v>0</v>
      </c>
      <c r="AU394" s="30">
        <v>0</v>
      </c>
      <c r="AV394" s="30">
        <v>0</v>
      </c>
      <c r="AW394" s="30">
        <v>0</v>
      </c>
      <c r="AX394" s="30">
        <v>0</v>
      </c>
      <c r="AY394" s="30">
        <v>0</v>
      </c>
    </row>
    <row r="395" spans="1:51">
      <c r="A395" s="30" t="s">
        <v>619</v>
      </c>
      <c r="B395" s="30" t="s">
        <v>919</v>
      </c>
      <c r="C395" s="30">
        <v>1</v>
      </c>
      <c r="D395" s="30">
        <v>27</v>
      </c>
      <c r="E395" s="30">
        <v>27</v>
      </c>
      <c r="F395" s="30" t="s">
        <v>626</v>
      </c>
      <c r="G395" s="30" t="s">
        <v>638</v>
      </c>
      <c r="H395" s="30">
        <v>0</v>
      </c>
      <c r="I395" s="30">
        <v>3.2958370000000001</v>
      </c>
      <c r="J395" s="30">
        <v>1</v>
      </c>
      <c r="K395" s="30">
        <v>0</v>
      </c>
      <c r="L395" s="30">
        <v>0</v>
      </c>
      <c r="M395" s="30">
        <v>1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30">
        <v>0</v>
      </c>
      <c r="AG395" s="30">
        <v>0</v>
      </c>
      <c r="AH395" s="30">
        <v>0</v>
      </c>
      <c r="AI395" s="30">
        <v>0</v>
      </c>
      <c r="AJ395" s="30">
        <v>0</v>
      </c>
      <c r="AK395" s="30">
        <v>0</v>
      </c>
      <c r="AL395" s="30">
        <v>0</v>
      </c>
      <c r="AM395" s="30">
        <v>0</v>
      </c>
      <c r="AN395" s="30">
        <v>0</v>
      </c>
      <c r="AO395" s="30">
        <v>0</v>
      </c>
      <c r="AP395" s="30">
        <v>0</v>
      </c>
      <c r="AQ395" s="30">
        <v>0</v>
      </c>
      <c r="AR395" s="30">
        <v>0</v>
      </c>
      <c r="AS395" s="30">
        <v>0</v>
      </c>
      <c r="AT395" s="30">
        <v>0</v>
      </c>
      <c r="AU395" s="30">
        <v>0</v>
      </c>
      <c r="AV395" s="30">
        <v>0</v>
      </c>
      <c r="AW395" s="30">
        <v>0</v>
      </c>
      <c r="AX395" s="30">
        <v>0</v>
      </c>
      <c r="AY395" s="30">
        <v>0</v>
      </c>
    </row>
    <row r="396" spans="1:51">
      <c r="A396" s="30" t="s">
        <v>619</v>
      </c>
      <c r="B396" s="30" t="s">
        <v>920</v>
      </c>
      <c r="C396" s="30">
        <v>4</v>
      </c>
      <c r="D396" s="30">
        <v>34</v>
      </c>
      <c r="E396" s="30">
        <v>136</v>
      </c>
      <c r="F396" s="30" t="s">
        <v>626</v>
      </c>
      <c r="G396" s="30" t="s">
        <v>663</v>
      </c>
      <c r="H396" s="30">
        <v>1.3862939999999999</v>
      </c>
      <c r="I396" s="30">
        <v>3.5263610000000001</v>
      </c>
      <c r="J396" s="30">
        <v>1</v>
      </c>
      <c r="K396" s="30">
        <v>0</v>
      </c>
      <c r="L396" s="30">
        <v>0</v>
      </c>
      <c r="M396" s="30">
        <v>1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1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30">
        <v>0</v>
      </c>
      <c r="AG396" s="30">
        <v>0</v>
      </c>
      <c r="AH396" s="30">
        <v>0</v>
      </c>
      <c r="AI396" s="30">
        <v>0</v>
      </c>
      <c r="AJ396" s="30">
        <v>0</v>
      </c>
      <c r="AK396" s="30">
        <v>0</v>
      </c>
      <c r="AL396" s="30">
        <v>0</v>
      </c>
      <c r="AM396" s="30">
        <v>0</v>
      </c>
      <c r="AN396" s="30">
        <v>0</v>
      </c>
      <c r="AO396" s="30">
        <v>0</v>
      </c>
      <c r="AP396" s="30">
        <v>0</v>
      </c>
      <c r="AQ396" s="30">
        <v>0</v>
      </c>
      <c r="AR396" s="30">
        <v>0</v>
      </c>
      <c r="AS396" s="30">
        <v>0</v>
      </c>
      <c r="AT396" s="30">
        <v>0</v>
      </c>
      <c r="AU396" s="30">
        <v>0</v>
      </c>
      <c r="AV396" s="30">
        <v>0</v>
      </c>
      <c r="AW396" s="30">
        <v>0</v>
      </c>
      <c r="AX396" s="30">
        <v>0</v>
      </c>
      <c r="AY396" s="30">
        <v>0</v>
      </c>
    </row>
    <row r="397" spans="1:51">
      <c r="A397" s="30" t="s">
        <v>619</v>
      </c>
      <c r="B397" s="30" t="s">
        <v>921</v>
      </c>
      <c r="C397" s="30">
        <v>5</v>
      </c>
      <c r="D397" s="30">
        <v>3715</v>
      </c>
      <c r="E397" s="30">
        <v>18568</v>
      </c>
      <c r="F397" s="30" t="s">
        <v>621</v>
      </c>
      <c r="G397" s="30" t="s">
        <v>638</v>
      </c>
      <c r="H397" s="30">
        <v>1.6094379999999999</v>
      </c>
      <c r="I397" s="30">
        <v>8.2201339999999998</v>
      </c>
      <c r="J397" s="30">
        <v>1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30">
        <v>0</v>
      </c>
      <c r="AG397" s="30">
        <v>0</v>
      </c>
      <c r="AH397" s="30">
        <v>0</v>
      </c>
      <c r="AI397" s="30">
        <v>0</v>
      </c>
      <c r="AJ397" s="30">
        <v>0</v>
      </c>
      <c r="AK397" s="30">
        <v>0</v>
      </c>
      <c r="AL397" s="30">
        <v>0</v>
      </c>
      <c r="AM397" s="30">
        <v>0</v>
      </c>
      <c r="AN397" s="30">
        <v>0</v>
      </c>
      <c r="AO397" s="30">
        <v>0</v>
      </c>
      <c r="AP397" s="30">
        <v>0</v>
      </c>
      <c r="AQ397" s="30">
        <v>0</v>
      </c>
      <c r="AR397" s="30">
        <v>0</v>
      </c>
      <c r="AS397" s="30">
        <v>0</v>
      </c>
      <c r="AT397" s="30">
        <v>0</v>
      </c>
      <c r="AU397" s="30">
        <v>0</v>
      </c>
      <c r="AV397" s="30">
        <v>0</v>
      </c>
      <c r="AW397" s="30">
        <v>0</v>
      </c>
      <c r="AX397" s="30">
        <v>0</v>
      </c>
      <c r="AY397" s="30">
        <v>0</v>
      </c>
    </row>
    <row r="398" spans="1:51">
      <c r="A398" s="30" t="s">
        <v>619</v>
      </c>
      <c r="B398" s="30" t="s">
        <v>922</v>
      </c>
      <c r="C398" s="30">
        <v>4</v>
      </c>
      <c r="D398" s="30">
        <v>6314</v>
      </c>
      <c r="E398" s="30">
        <v>25247.599999999999</v>
      </c>
      <c r="F398" s="30" t="s">
        <v>621</v>
      </c>
      <c r="G398" s="30" t="s">
        <v>638</v>
      </c>
      <c r="H398" s="30">
        <v>1.3862939999999999</v>
      </c>
      <c r="I398" s="30">
        <v>8.7505249999999997</v>
      </c>
      <c r="J398" s="30">
        <v>1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30">
        <v>0</v>
      </c>
      <c r="AG398" s="30">
        <v>0</v>
      </c>
      <c r="AH398" s="30">
        <v>0</v>
      </c>
      <c r="AI398" s="30">
        <v>0</v>
      </c>
      <c r="AJ398" s="30">
        <v>0</v>
      </c>
      <c r="AK398" s="30">
        <v>0</v>
      </c>
      <c r="AL398" s="30">
        <v>0</v>
      </c>
      <c r="AM398" s="30">
        <v>0</v>
      </c>
      <c r="AN398" s="30">
        <v>0</v>
      </c>
      <c r="AO398" s="30">
        <v>0</v>
      </c>
      <c r="AP398" s="30">
        <v>0</v>
      </c>
      <c r="AQ398" s="30">
        <v>0</v>
      </c>
      <c r="AR398" s="30">
        <v>0</v>
      </c>
      <c r="AS398" s="30">
        <v>0</v>
      </c>
      <c r="AT398" s="30">
        <v>0</v>
      </c>
      <c r="AU398" s="30">
        <v>0</v>
      </c>
      <c r="AV398" s="30">
        <v>0</v>
      </c>
      <c r="AW398" s="30">
        <v>0</v>
      </c>
      <c r="AX398" s="30">
        <v>0</v>
      </c>
      <c r="AY398" s="30">
        <v>0</v>
      </c>
    </row>
    <row r="399" spans="1:51">
      <c r="A399" s="30" t="s">
        <v>619</v>
      </c>
      <c r="B399" s="30" t="s">
        <v>923</v>
      </c>
      <c r="C399" s="30">
        <v>3</v>
      </c>
      <c r="D399" s="30">
        <v>68</v>
      </c>
      <c r="E399" s="30">
        <v>204</v>
      </c>
      <c r="F399" s="30" t="s">
        <v>621</v>
      </c>
      <c r="G399" s="30" t="s">
        <v>648</v>
      </c>
      <c r="H399" s="30">
        <v>1.0986119999999999</v>
      </c>
      <c r="I399" s="30">
        <v>4.2195080000000003</v>
      </c>
      <c r="J399" s="30">
        <v>1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30">
        <v>0</v>
      </c>
      <c r="AG399" s="30">
        <v>0</v>
      </c>
      <c r="AH399" s="30">
        <v>0</v>
      </c>
      <c r="AI399" s="30">
        <v>0</v>
      </c>
      <c r="AJ399" s="30">
        <v>0</v>
      </c>
      <c r="AK399" s="30">
        <v>0</v>
      </c>
      <c r="AL399" s="30">
        <v>0</v>
      </c>
      <c r="AM399" s="30">
        <v>0</v>
      </c>
      <c r="AN399" s="30">
        <v>0</v>
      </c>
      <c r="AO399" s="30">
        <v>1</v>
      </c>
      <c r="AP399" s="30">
        <v>0</v>
      </c>
      <c r="AQ399" s="30">
        <v>0</v>
      </c>
      <c r="AR399" s="30">
        <v>0</v>
      </c>
      <c r="AS399" s="30">
        <v>0</v>
      </c>
      <c r="AT399" s="30">
        <v>0</v>
      </c>
      <c r="AU399" s="30">
        <v>0</v>
      </c>
      <c r="AV399" s="30">
        <v>0</v>
      </c>
      <c r="AW399" s="30">
        <v>0</v>
      </c>
      <c r="AX399" s="30">
        <v>0</v>
      </c>
      <c r="AY399" s="30">
        <v>0</v>
      </c>
    </row>
    <row r="400" spans="1:51">
      <c r="A400" s="30" t="s">
        <v>619</v>
      </c>
      <c r="B400" s="30" t="s">
        <v>924</v>
      </c>
      <c r="C400" s="30">
        <v>1.5</v>
      </c>
      <c r="D400" s="30">
        <v>249</v>
      </c>
      <c r="E400" s="30">
        <v>361.65</v>
      </c>
      <c r="F400" s="30" t="s">
        <v>626</v>
      </c>
      <c r="G400" s="30" t="s">
        <v>627</v>
      </c>
      <c r="H400" s="30">
        <v>0.40546500000000002</v>
      </c>
      <c r="I400" s="30">
        <v>5.5174529999999997</v>
      </c>
      <c r="J400" s="30">
        <v>1</v>
      </c>
      <c r="K400" s="30">
        <v>0</v>
      </c>
      <c r="L400" s="30">
        <v>0</v>
      </c>
      <c r="M400" s="30">
        <v>1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30">
        <v>0</v>
      </c>
      <c r="AG400" s="30">
        <v>0</v>
      </c>
      <c r="AH400" s="30">
        <v>0</v>
      </c>
      <c r="AI400" s="30">
        <v>0</v>
      </c>
      <c r="AJ400" s="30">
        <v>1</v>
      </c>
      <c r="AK400" s="30">
        <v>0</v>
      </c>
      <c r="AL400" s="30">
        <v>0</v>
      </c>
      <c r="AM400" s="30">
        <v>0</v>
      </c>
      <c r="AN400" s="30">
        <v>0</v>
      </c>
      <c r="AO400" s="30">
        <v>0</v>
      </c>
      <c r="AP400" s="30">
        <v>0</v>
      </c>
      <c r="AQ400" s="30">
        <v>0</v>
      </c>
      <c r="AR400" s="30">
        <v>0</v>
      </c>
      <c r="AS400" s="30">
        <v>0</v>
      </c>
      <c r="AT400" s="30">
        <v>0</v>
      </c>
      <c r="AU400" s="30">
        <v>0</v>
      </c>
      <c r="AV400" s="30">
        <v>0</v>
      </c>
      <c r="AW400" s="30">
        <v>0</v>
      </c>
      <c r="AX400" s="30">
        <v>0</v>
      </c>
      <c r="AY400" s="30">
        <v>0</v>
      </c>
    </row>
    <row r="401" spans="1:51">
      <c r="A401" s="30" t="s">
        <v>619</v>
      </c>
      <c r="B401" s="30" t="s">
        <v>925</v>
      </c>
      <c r="C401" s="30">
        <v>1.5</v>
      </c>
      <c r="D401" s="30">
        <v>524</v>
      </c>
      <c r="E401" s="30">
        <v>785.4</v>
      </c>
      <c r="F401" s="30" t="s">
        <v>626</v>
      </c>
      <c r="G401" s="30" t="s">
        <v>627</v>
      </c>
      <c r="H401" s="30">
        <v>0.40546500000000002</v>
      </c>
      <c r="I401" s="30">
        <v>6.2614919999999996</v>
      </c>
      <c r="J401" s="30">
        <v>1</v>
      </c>
      <c r="K401" s="30">
        <v>0</v>
      </c>
      <c r="L401" s="30">
        <v>0</v>
      </c>
      <c r="M401" s="30">
        <v>1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30">
        <v>0</v>
      </c>
      <c r="AG401" s="30">
        <v>0</v>
      </c>
      <c r="AH401" s="30">
        <v>0</v>
      </c>
      <c r="AI401" s="30">
        <v>0</v>
      </c>
      <c r="AJ401" s="30">
        <v>1</v>
      </c>
      <c r="AK401" s="30">
        <v>0</v>
      </c>
      <c r="AL401" s="30">
        <v>0</v>
      </c>
      <c r="AM401" s="30">
        <v>0</v>
      </c>
      <c r="AN401" s="30">
        <v>0</v>
      </c>
      <c r="AO401" s="30">
        <v>0</v>
      </c>
      <c r="AP401" s="30">
        <v>0</v>
      </c>
      <c r="AQ401" s="30">
        <v>0</v>
      </c>
      <c r="AR401" s="30">
        <v>0</v>
      </c>
      <c r="AS401" s="30">
        <v>0</v>
      </c>
      <c r="AT401" s="30">
        <v>0</v>
      </c>
      <c r="AU401" s="30">
        <v>0</v>
      </c>
      <c r="AV401" s="30">
        <v>0</v>
      </c>
      <c r="AW401" s="30">
        <v>0</v>
      </c>
      <c r="AX401" s="30">
        <v>0</v>
      </c>
      <c r="AY401" s="30">
        <v>0</v>
      </c>
    </row>
    <row r="402" spans="1:51">
      <c r="A402" s="30" t="s">
        <v>619</v>
      </c>
      <c r="B402" s="30" t="s">
        <v>926</v>
      </c>
      <c r="C402" s="30">
        <v>3</v>
      </c>
      <c r="D402" s="30">
        <v>1467</v>
      </c>
      <c r="E402" s="30">
        <v>4401</v>
      </c>
      <c r="F402" s="30" t="s">
        <v>621</v>
      </c>
      <c r="G402" s="30" t="s">
        <v>624</v>
      </c>
      <c r="H402" s="30">
        <v>1.0986119999999999</v>
      </c>
      <c r="I402" s="30">
        <v>7.2909750000000004</v>
      </c>
      <c r="J402" s="30">
        <v>1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30">
        <v>0</v>
      </c>
      <c r="AG402" s="30">
        <v>0</v>
      </c>
      <c r="AH402" s="30">
        <v>0</v>
      </c>
      <c r="AI402" s="30">
        <v>0</v>
      </c>
      <c r="AJ402" s="30">
        <v>0</v>
      </c>
      <c r="AK402" s="30">
        <v>0</v>
      </c>
      <c r="AL402" s="30">
        <v>1</v>
      </c>
      <c r="AM402" s="30">
        <v>0</v>
      </c>
      <c r="AN402" s="30">
        <v>0</v>
      </c>
      <c r="AO402" s="30">
        <v>0</v>
      </c>
      <c r="AP402" s="30">
        <v>0</v>
      </c>
      <c r="AQ402" s="30">
        <v>0</v>
      </c>
      <c r="AR402" s="30">
        <v>0</v>
      </c>
      <c r="AS402" s="30">
        <v>0</v>
      </c>
      <c r="AT402" s="30">
        <v>0</v>
      </c>
      <c r="AU402" s="30">
        <v>0</v>
      </c>
      <c r="AV402" s="30">
        <v>0</v>
      </c>
      <c r="AW402" s="30">
        <v>0</v>
      </c>
      <c r="AX402" s="30">
        <v>0</v>
      </c>
      <c r="AY402" s="30">
        <v>0</v>
      </c>
    </row>
    <row r="403" spans="1:51">
      <c r="A403" s="30" t="s">
        <v>619</v>
      </c>
      <c r="B403" s="30" t="s">
        <v>927</v>
      </c>
      <c r="C403" s="30">
        <v>1.5</v>
      </c>
      <c r="D403" s="30">
        <v>96</v>
      </c>
      <c r="E403" s="30">
        <v>143.69999999999999</v>
      </c>
      <c r="F403" s="30" t="s">
        <v>626</v>
      </c>
      <c r="G403" s="30" t="s">
        <v>627</v>
      </c>
      <c r="H403" s="30">
        <v>0.40546500000000002</v>
      </c>
      <c r="I403" s="30">
        <v>4.5643479999999998</v>
      </c>
      <c r="J403" s="30">
        <v>1</v>
      </c>
      <c r="K403" s="30">
        <v>0</v>
      </c>
      <c r="L403" s="30">
        <v>0</v>
      </c>
      <c r="M403" s="30">
        <v>1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30">
        <v>0</v>
      </c>
      <c r="AG403" s="30">
        <v>0</v>
      </c>
      <c r="AH403" s="30">
        <v>0</v>
      </c>
      <c r="AI403" s="30">
        <v>0</v>
      </c>
      <c r="AJ403" s="30">
        <v>1</v>
      </c>
      <c r="AK403" s="30">
        <v>0</v>
      </c>
      <c r="AL403" s="30">
        <v>0</v>
      </c>
      <c r="AM403" s="30">
        <v>0</v>
      </c>
      <c r="AN403" s="30">
        <v>0</v>
      </c>
      <c r="AO403" s="30">
        <v>0</v>
      </c>
      <c r="AP403" s="30">
        <v>0</v>
      </c>
      <c r="AQ403" s="30">
        <v>0</v>
      </c>
      <c r="AR403" s="30">
        <v>0</v>
      </c>
      <c r="AS403" s="30">
        <v>0</v>
      </c>
      <c r="AT403" s="30">
        <v>0</v>
      </c>
      <c r="AU403" s="30">
        <v>0</v>
      </c>
      <c r="AV403" s="30">
        <v>0</v>
      </c>
      <c r="AW403" s="30">
        <v>0</v>
      </c>
      <c r="AX403" s="30">
        <v>0</v>
      </c>
      <c r="AY403" s="30">
        <v>0</v>
      </c>
    </row>
    <row r="404" spans="1:51">
      <c r="A404" s="30" t="s">
        <v>619</v>
      </c>
      <c r="B404" s="30" t="s">
        <v>928</v>
      </c>
      <c r="C404" s="30">
        <v>3</v>
      </c>
      <c r="D404" s="30">
        <v>1910</v>
      </c>
      <c r="E404" s="30">
        <v>5720.1</v>
      </c>
      <c r="F404" s="30" t="s">
        <v>621</v>
      </c>
      <c r="G404" s="30" t="s">
        <v>638</v>
      </c>
      <c r="H404" s="30">
        <v>1.0986119999999999</v>
      </c>
      <c r="I404" s="30">
        <v>7.5548590000000004</v>
      </c>
      <c r="J404" s="30">
        <v>1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30">
        <v>0</v>
      </c>
      <c r="AG404" s="30">
        <v>0</v>
      </c>
      <c r="AH404" s="30">
        <v>0</v>
      </c>
      <c r="AI404" s="30">
        <v>0</v>
      </c>
      <c r="AJ404" s="30">
        <v>0</v>
      </c>
      <c r="AK404" s="30">
        <v>0</v>
      </c>
      <c r="AL404" s="30">
        <v>0</v>
      </c>
      <c r="AM404" s="30">
        <v>0</v>
      </c>
      <c r="AN404" s="30">
        <v>0</v>
      </c>
      <c r="AO404" s="30">
        <v>0</v>
      </c>
      <c r="AP404" s="30">
        <v>0</v>
      </c>
      <c r="AQ404" s="30">
        <v>0</v>
      </c>
      <c r="AR404" s="30">
        <v>0</v>
      </c>
      <c r="AS404" s="30">
        <v>0</v>
      </c>
      <c r="AT404" s="30">
        <v>0</v>
      </c>
      <c r="AU404" s="30">
        <v>0</v>
      </c>
      <c r="AV404" s="30">
        <v>0</v>
      </c>
      <c r="AW404" s="30">
        <v>0</v>
      </c>
      <c r="AX404" s="30">
        <v>0</v>
      </c>
      <c r="AY404" s="30">
        <v>0</v>
      </c>
    </row>
    <row r="405" spans="1:51">
      <c r="A405" s="30" t="s">
        <v>619</v>
      </c>
      <c r="B405" s="30" t="s">
        <v>929</v>
      </c>
      <c r="C405" s="30">
        <v>2</v>
      </c>
      <c r="D405" s="30">
        <v>2704</v>
      </c>
      <c r="E405" s="30">
        <v>5359</v>
      </c>
      <c r="F405" s="30" t="s">
        <v>621</v>
      </c>
      <c r="G405" s="30" t="s">
        <v>638</v>
      </c>
      <c r="H405" s="30">
        <v>0.69314699999999996</v>
      </c>
      <c r="I405" s="30">
        <v>7.9024869999999998</v>
      </c>
      <c r="J405" s="30">
        <v>1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30">
        <v>0</v>
      </c>
      <c r="AG405" s="30">
        <v>0</v>
      </c>
      <c r="AH405" s="30">
        <v>0</v>
      </c>
      <c r="AI405" s="30">
        <v>0</v>
      </c>
      <c r="AJ405" s="30">
        <v>0</v>
      </c>
      <c r="AK405" s="30">
        <v>0</v>
      </c>
      <c r="AL405" s="30">
        <v>0</v>
      </c>
      <c r="AM405" s="30">
        <v>0</v>
      </c>
      <c r="AN405" s="30">
        <v>0</v>
      </c>
      <c r="AO405" s="30">
        <v>0</v>
      </c>
      <c r="AP405" s="30">
        <v>0</v>
      </c>
      <c r="AQ405" s="30">
        <v>0</v>
      </c>
      <c r="AR405" s="30">
        <v>0</v>
      </c>
      <c r="AS405" s="30">
        <v>0</v>
      </c>
      <c r="AT405" s="30">
        <v>0</v>
      </c>
      <c r="AU405" s="30">
        <v>0</v>
      </c>
      <c r="AV405" s="30">
        <v>0</v>
      </c>
      <c r="AW405" s="30">
        <v>0</v>
      </c>
      <c r="AX405" s="30">
        <v>0</v>
      </c>
      <c r="AY405" s="30">
        <v>0</v>
      </c>
    </row>
    <row r="406" spans="1:51">
      <c r="A406" s="30" t="s">
        <v>619</v>
      </c>
      <c r="B406" s="30" t="s">
        <v>930</v>
      </c>
      <c r="C406" s="30">
        <v>3</v>
      </c>
      <c r="D406" s="30">
        <v>65</v>
      </c>
      <c r="E406" s="30">
        <v>195</v>
      </c>
      <c r="F406" s="30" t="s">
        <v>621</v>
      </c>
      <c r="G406" s="30" t="s">
        <v>371</v>
      </c>
      <c r="H406" s="30">
        <v>1.0986119999999999</v>
      </c>
      <c r="I406" s="30">
        <v>4.1743870000000003</v>
      </c>
      <c r="J406" s="30">
        <v>1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30">
        <v>0</v>
      </c>
      <c r="AG406" s="30">
        <v>0</v>
      </c>
      <c r="AH406" s="30">
        <v>0</v>
      </c>
      <c r="AI406" s="30">
        <v>0</v>
      </c>
      <c r="AJ406" s="30">
        <v>0</v>
      </c>
      <c r="AK406" s="30">
        <v>0</v>
      </c>
      <c r="AL406" s="30">
        <v>0</v>
      </c>
      <c r="AM406" s="30">
        <v>0</v>
      </c>
      <c r="AN406" s="30">
        <v>0</v>
      </c>
      <c r="AO406" s="30">
        <v>0</v>
      </c>
      <c r="AP406" s="30">
        <v>0</v>
      </c>
      <c r="AQ406" s="30">
        <v>0</v>
      </c>
      <c r="AR406" s="30">
        <v>0</v>
      </c>
      <c r="AS406" s="30">
        <v>0</v>
      </c>
      <c r="AT406" s="30">
        <v>0</v>
      </c>
      <c r="AU406" s="30">
        <v>1</v>
      </c>
      <c r="AV406" s="30">
        <v>0</v>
      </c>
      <c r="AW406" s="30">
        <v>0</v>
      </c>
      <c r="AX406" s="30">
        <v>0</v>
      </c>
      <c r="AY406" s="30">
        <v>0</v>
      </c>
    </row>
    <row r="407" spans="1:51">
      <c r="A407" s="30" t="s">
        <v>619</v>
      </c>
      <c r="B407" s="30" t="s">
        <v>931</v>
      </c>
      <c r="C407" s="30">
        <v>3</v>
      </c>
      <c r="D407" s="30">
        <v>44</v>
      </c>
      <c r="E407" s="30">
        <v>132</v>
      </c>
      <c r="F407" s="30" t="s">
        <v>621</v>
      </c>
      <c r="G407" s="30" t="s">
        <v>624</v>
      </c>
      <c r="H407" s="30">
        <v>1.0986119999999999</v>
      </c>
      <c r="I407" s="30">
        <v>3.7841900000000002</v>
      </c>
      <c r="J407" s="30">
        <v>1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30">
        <v>0</v>
      </c>
      <c r="AG407" s="30">
        <v>0</v>
      </c>
      <c r="AH407" s="30">
        <v>0</v>
      </c>
      <c r="AI407" s="30">
        <v>0</v>
      </c>
      <c r="AJ407" s="30">
        <v>0</v>
      </c>
      <c r="AK407" s="30">
        <v>0</v>
      </c>
      <c r="AL407" s="30">
        <v>1</v>
      </c>
      <c r="AM407" s="30">
        <v>0</v>
      </c>
      <c r="AN407" s="30">
        <v>0</v>
      </c>
      <c r="AO407" s="30">
        <v>0</v>
      </c>
      <c r="AP407" s="30">
        <v>0</v>
      </c>
      <c r="AQ407" s="30">
        <v>0</v>
      </c>
      <c r="AR407" s="30">
        <v>0</v>
      </c>
      <c r="AS407" s="30">
        <v>0</v>
      </c>
      <c r="AT407" s="30">
        <v>0</v>
      </c>
      <c r="AU407" s="30">
        <v>0</v>
      </c>
      <c r="AV407" s="30">
        <v>0</v>
      </c>
      <c r="AW407" s="30">
        <v>0</v>
      </c>
      <c r="AX407" s="30">
        <v>0</v>
      </c>
      <c r="AY407" s="30">
        <v>0</v>
      </c>
    </row>
    <row r="408" spans="1:51">
      <c r="A408" s="30" t="s">
        <v>619</v>
      </c>
      <c r="B408" s="30" t="s">
        <v>932</v>
      </c>
      <c r="C408" s="30">
        <v>3</v>
      </c>
      <c r="D408" s="30">
        <v>1511</v>
      </c>
      <c r="E408" s="30">
        <v>4514.7</v>
      </c>
      <c r="F408" s="30" t="s">
        <v>621</v>
      </c>
      <c r="G408" s="30" t="s">
        <v>638</v>
      </c>
      <c r="H408" s="30">
        <v>1.0986119999999999</v>
      </c>
      <c r="I408" s="30">
        <v>7.3205270000000002</v>
      </c>
      <c r="J408" s="30">
        <v>1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30">
        <v>0</v>
      </c>
      <c r="AG408" s="30">
        <v>0</v>
      </c>
      <c r="AH408" s="30">
        <v>0</v>
      </c>
      <c r="AI408" s="30">
        <v>0</v>
      </c>
      <c r="AJ408" s="30">
        <v>0</v>
      </c>
      <c r="AK408" s="30">
        <v>0</v>
      </c>
      <c r="AL408" s="30">
        <v>0</v>
      </c>
      <c r="AM408" s="30">
        <v>0</v>
      </c>
      <c r="AN408" s="30">
        <v>0</v>
      </c>
      <c r="AO408" s="30">
        <v>0</v>
      </c>
      <c r="AP408" s="30">
        <v>0</v>
      </c>
      <c r="AQ408" s="30">
        <v>0</v>
      </c>
      <c r="AR408" s="30">
        <v>0</v>
      </c>
      <c r="AS408" s="30">
        <v>0</v>
      </c>
      <c r="AT408" s="30">
        <v>0</v>
      </c>
      <c r="AU408" s="30">
        <v>0</v>
      </c>
      <c r="AV408" s="30">
        <v>0</v>
      </c>
      <c r="AW408" s="30">
        <v>0</v>
      </c>
      <c r="AX408" s="30">
        <v>0</v>
      </c>
      <c r="AY408" s="30">
        <v>0</v>
      </c>
    </row>
    <row r="409" spans="1:51">
      <c r="A409" s="30" t="s">
        <v>619</v>
      </c>
      <c r="B409" s="30" t="s">
        <v>933</v>
      </c>
      <c r="C409" s="30">
        <v>2</v>
      </c>
      <c r="D409" s="30">
        <v>3314</v>
      </c>
      <c r="E409" s="30">
        <v>6597.8</v>
      </c>
      <c r="F409" s="30" t="s">
        <v>621</v>
      </c>
      <c r="G409" s="30" t="s">
        <v>638</v>
      </c>
      <c r="H409" s="30">
        <v>0.69314699999999996</v>
      </c>
      <c r="I409" s="30">
        <v>8.1059110000000008</v>
      </c>
      <c r="J409" s="30">
        <v>1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30">
        <v>0</v>
      </c>
      <c r="AG409" s="30">
        <v>0</v>
      </c>
      <c r="AH409" s="30">
        <v>0</v>
      </c>
      <c r="AI409" s="30">
        <v>0</v>
      </c>
      <c r="AJ409" s="30">
        <v>0</v>
      </c>
      <c r="AK409" s="30">
        <v>0</v>
      </c>
      <c r="AL409" s="30">
        <v>0</v>
      </c>
      <c r="AM409" s="30">
        <v>0</v>
      </c>
      <c r="AN409" s="30">
        <v>0</v>
      </c>
      <c r="AO409" s="30">
        <v>0</v>
      </c>
      <c r="AP409" s="30">
        <v>0</v>
      </c>
      <c r="AQ409" s="30">
        <v>0</v>
      </c>
      <c r="AR409" s="30">
        <v>0</v>
      </c>
      <c r="AS409" s="30">
        <v>0</v>
      </c>
      <c r="AT409" s="30">
        <v>0</v>
      </c>
      <c r="AU409" s="30">
        <v>0</v>
      </c>
      <c r="AV409" s="30">
        <v>0</v>
      </c>
      <c r="AW409" s="30">
        <v>0</v>
      </c>
      <c r="AX409" s="30">
        <v>0</v>
      </c>
      <c r="AY409" s="30">
        <v>0</v>
      </c>
    </row>
    <row r="410" spans="1:51">
      <c r="A410" s="30" t="s">
        <v>619</v>
      </c>
      <c r="B410" s="30" t="s">
        <v>934</v>
      </c>
      <c r="C410" s="30">
        <v>1.5</v>
      </c>
      <c r="D410" s="30">
        <v>197</v>
      </c>
      <c r="E410" s="30">
        <v>293.7</v>
      </c>
      <c r="F410" s="30" t="s">
        <v>626</v>
      </c>
      <c r="G410" s="30" t="s">
        <v>627</v>
      </c>
      <c r="H410" s="30">
        <v>0.40546500000000002</v>
      </c>
      <c r="I410" s="30">
        <v>5.2832039999999996</v>
      </c>
      <c r="J410" s="30">
        <v>1</v>
      </c>
      <c r="K410" s="30">
        <v>0</v>
      </c>
      <c r="L410" s="30">
        <v>0</v>
      </c>
      <c r="M410" s="30">
        <v>1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30">
        <v>0</v>
      </c>
      <c r="AG410" s="30">
        <v>0</v>
      </c>
      <c r="AH410" s="30">
        <v>0</v>
      </c>
      <c r="AI410" s="30">
        <v>0</v>
      </c>
      <c r="AJ410" s="30">
        <v>1</v>
      </c>
      <c r="AK410" s="30">
        <v>0</v>
      </c>
      <c r="AL410" s="30">
        <v>0</v>
      </c>
      <c r="AM410" s="30">
        <v>0</v>
      </c>
      <c r="AN410" s="30">
        <v>0</v>
      </c>
      <c r="AO410" s="30">
        <v>0</v>
      </c>
      <c r="AP410" s="30">
        <v>0</v>
      </c>
      <c r="AQ410" s="30">
        <v>0</v>
      </c>
      <c r="AR410" s="30">
        <v>0</v>
      </c>
      <c r="AS410" s="30">
        <v>0</v>
      </c>
      <c r="AT410" s="30">
        <v>0</v>
      </c>
      <c r="AU410" s="30">
        <v>0</v>
      </c>
      <c r="AV410" s="30">
        <v>0</v>
      </c>
      <c r="AW410" s="30">
        <v>0</v>
      </c>
      <c r="AX410" s="30">
        <v>0</v>
      </c>
      <c r="AY410" s="30">
        <v>0</v>
      </c>
    </row>
    <row r="411" spans="1:51">
      <c r="A411" s="30" t="s">
        <v>619</v>
      </c>
      <c r="B411" s="30" t="s">
        <v>935</v>
      </c>
      <c r="C411" s="30">
        <v>1.5</v>
      </c>
      <c r="D411" s="30">
        <v>222</v>
      </c>
      <c r="E411" s="30">
        <v>302.10000000000002</v>
      </c>
      <c r="F411" s="30" t="s">
        <v>626</v>
      </c>
      <c r="G411" s="30" t="s">
        <v>627</v>
      </c>
      <c r="H411" s="30">
        <v>0.40546500000000002</v>
      </c>
      <c r="I411" s="30">
        <v>5.4026769999999997</v>
      </c>
      <c r="J411" s="30">
        <v>1</v>
      </c>
      <c r="K411" s="30">
        <v>0</v>
      </c>
      <c r="L411" s="30">
        <v>0</v>
      </c>
      <c r="M411" s="30">
        <v>1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30">
        <v>0</v>
      </c>
      <c r="AG411" s="30">
        <v>0</v>
      </c>
      <c r="AH411" s="30">
        <v>0</v>
      </c>
      <c r="AI411" s="30">
        <v>0</v>
      </c>
      <c r="AJ411" s="30">
        <v>1</v>
      </c>
      <c r="AK411" s="30">
        <v>0</v>
      </c>
      <c r="AL411" s="30">
        <v>0</v>
      </c>
      <c r="AM411" s="30">
        <v>0</v>
      </c>
      <c r="AN411" s="30">
        <v>0</v>
      </c>
      <c r="AO411" s="30">
        <v>0</v>
      </c>
      <c r="AP411" s="30">
        <v>0</v>
      </c>
      <c r="AQ411" s="30">
        <v>0</v>
      </c>
      <c r="AR411" s="30">
        <v>0</v>
      </c>
      <c r="AS411" s="30">
        <v>0</v>
      </c>
      <c r="AT411" s="30">
        <v>0</v>
      </c>
      <c r="AU411" s="30">
        <v>0</v>
      </c>
      <c r="AV411" s="30">
        <v>0</v>
      </c>
      <c r="AW411" s="30">
        <v>0</v>
      </c>
      <c r="AX411" s="30">
        <v>0</v>
      </c>
      <c r="AY411" s="30">
        <v>0</v>
      </c>
    </row>
    <row r="412" spans="1:51">
      <c r="A412" s="30" t="s">
        <v>619</v>
      </c>
      <c r="B412" s="30" t="s">
        <v>936</v>
      </c>
      <c r="C412" s="30">
        <v>2</v>
      </c>
      <c r="D412" s="30">
        <v>2</v>
      </c>
      <c r="E412" s="30">
        <v>2</v>
      </c>
      <c r="F412" s="30" t="s">
        <v>626</v>
      </c>
      <c r="G412" s="30" t="s">
        <v>627</v>
      </c>
      <c r="H412" s="30">
        <v>0.69314699999999996</v>
      </c>
      <c r="I412" s="30">
        <v>0.69314699999999996</v>
      </c>
      <c r="J412" s="30">
        <v>1</v>
      </c>
      <c r="K412" s="30">
        <v>0</v>
      </c>
      <c r="L412" s="30">
        <v>0</v>
      </c>
      <c r="M412" s="30">
        <v>1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30">
        <v>0</v>
      </c>
      <c r="AG412" s="30">
        <v>0</v>
      </c>
      <c r="AH412" s="30">
        <v>0</v>
      </c>
      <c r="AI412" s="30">
        <v>0</v>
      </c>
      <c r="AJ412" s="30">
        <v>1</v>
      </c>
      <c r="AK412" s="30">
        <v>0</v>
      </c>
      <c r="AL412" s="30">
        <v>0</v>
      </c>
      <c r="AM412" s="30">
        <v>0</v>
      </c>
      <c r="AN412" s="30">
        <v>0</v>
      </c>
      <c r="AO412" s="30">
        <v>0</v>
      </c>
      <c r="AP412" s="30">
        <v>0</v>
      </c>
      <c r="AQ412" s="30">
        <v>0</v>
      </c>
      <c r="AR412" s="30">
        <v>0</v>
      </c>
      <c r="AS412" s="30">
        <v>0</v>
      </c>
      <c r="AT412" s="30">
        <v>0</v>
      </c>
      <c r="AU412" s="30">
        <v>0</v>
      </c>
      <c r="AV412" s="30">
        <v>0</v>
      </c>
      <c r="AW412" s="30">
        <v>0</v>
      </c>
      <c r="AX412" s="30">
        <v>0</v>
      </c>
      <c r="AY412" s="30">
        <v>0</v>
      </c>
    </row>
    <row r="413" spans="1:51">
      <c r="A413" s="30" t="s">
        <v>619</v>
      </c>
      <c r="B413" s="30" t="s">
        <v>937</v>
      </c>
      <c r="C413" s="30">
        <v>3</v>
      </c>
      <c r="D413" s="30">
        <v>1362</v>
      </c>
      <c r="E413" s="30">
        <v>680.8</v>
      </c>
      <c r="F413" s="30" t="s">
        <v>626</v>
      </c>
      <c r="G413" s="30" t="s">
        <v>627</v>
      </c>
      <c r="H413" s="30">
        <v>1.0986119999999999</v>
      </c>
      <c r="I413" s="30">
        <v>7.2167089999999998</v>
      </c>
      <c r="J413" s="30">
        <v>1</v>
      </c>
      <c r="K413" s="30">
        <v>0</v>
      </c>
      <c r="L413" s="30">
        <v>0</v>
      </c>
      <c r="M413" s="30">
        <v>1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30">
        <v>0</v>
      </c>
      <c r="AG413" s="30">
        <v>0</v>
      </c>
      <c r="AH413" s="30">
        <v>0</v>
      </c>
      <c r="AI413" s="30">
        <v>0</v>
      </c>
      <c r="AJ413" s="30">
        <v>1</v>
      </c>
      <c r="AK413" s="30">
        <v>0</v>
      </c>
      <c r="AL413" s="30">
        <v>0</v>
      </c>
      <c r="AM413" s="30">
        <v>0</v>
      </c>
      <c r="AN413" s="30">
        <v>0</v>
      </c>
      <c r="AO413" s="30">
        <v>0</v>
      </c>
      <c r="AP413" s="30">
        <v>0</v>
      </c>
      <c r="AQ413" s="30">
        <v>0</v>
      </c>
      <c r="AR413" s="30">
        <v>0</v>
      </c>
      <c r="AS413" s="30">
        <v>0</v>
      </c>
      <c r="AT413" s="30">
        <v>0</v>
      </c>
      <c r="AU413" s="30">
        <v>0</v>
      </c>
      <c r="AV413" s="30">
        <v>0</v>
      </c>
      <c r="AW413" s="30">
        <v>0</v>
      </c>
      <c r="AX413" s="30">
        <v>0</v>
      </c>
      <c r="AY413" s="30">
        <v>0</v>
      </c>
    </row>
    <row r="414" spans="1:51">
      <c r="A414" s="30" t="s">
        <v>619</v>
      </c>
      <c r="B414" s="30" t="s">
        <v>938</v>
      </c>
      <c r="C414" s="30">
        <v>5</v>
      </c>
      <c r="D414" s="30">
        <v>6556</v>
      </c>
      <c r="E414" s="30">
        <v>32711.75</v>
      </c>
      <c r="F414" s="30" t="s">
        <v>621</v>
      </c>
      <c r="G414" s="30" t="s">
        <v>638</v>
      </c>
      <c r="H414" s="30">
        <v>1.6094379999999999</v>
      </c>
      <c r="I414" s="30">
        <v>8.7881359999999997</v>
      </c>
      <c r="J414" s="30">
        <v>1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30">
        <v>0</v>
      </c>
      <c r="AG414" s="30">
        <v>0</v>
      </c>
      <c r="AH414" s="30">
        <v>0</v>
      </c>
      <c r="AI414" s="30">
        <v>0</v>
      </c>
      <c r="AJ414" s="30">
        <v>0</v>
      </c>
      <c r="AK414" s="30">
        <v>0</v>
      </c>
      <c r="AL414" s="30">
        <v>0</v>
      </c>
      <c r="AM414" s="30">
        <v>0</v>
      </c>
      <c r="AN414" s="30">
        <v>0</v>
      </c>
      <c r="AO414" s="30">
        <v>0</v>
      </c>
      <c r="AP414" s="30">
        <v>0</v>
      </c>
      <c r="AQ414" s="30">
        <v>0</v>
      </c>
      <c r="AR414" s="30">
        <v>0</v>
      </c>
      <c r="AS414" s="30">
        <v>0</v>
      </c>
      <c r="AT414" s="30">
        <v>0</v>
      </c>
      <c r="AU414" s="30">
        <v>0</v>
      </c>
      <c r="AV414" s="30">
        <v>0</v>
      </c>
      <c r="AW414" s="30">
        <v>0</v>
      </c>
      <c r="AX414" s="30">
        <v>0</v>
      </c>
      <c r="AY414" s="30">
        <v>0</v>
      </c>
    </row>
    <row r="415" spans="1:51">
      <c r="A415" s="30" t="s">
        <v>619</v>
      </c>
      <c r="B415" s="30" t="s">
        <v>939</v>
      </c>
      <c r="C415" s="30">
        <v>4</v>
      </c>
      <c r="D415" s="30">
        <v>7284</v>
      </c>
      <c r="E415" s="30">
        <v>29000.400000000001</v>
      </c>
      <c r="F415" s="30" t="s">
        <v>621</v>
      </c>
      <c r="G415" s="30" t="s">
        <v>638</v>
      </c>
      <c r="H415" s="30">
        <v>1.3862939999999999</v>
      </c>
      <c r="I415" s="30">
        <v>8.8934350000000002</v>
      </c>
      <c r="J415" s="30">
        <v>1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30">
        <v>0</v>
      </c>
      <c r="AG415" s="30">
        <v>0</v>
      </c>
      <c r="AH415" s="30">
        <v>0</v>
      </c>
      <c r="AI415" s="30">
        <v>0</v>
      </c>
      <c r="AJ415" s="30">
        <v>0</v>
      </c>
      <c r="AK415" s="30">
        <v>0</v>
      </c>
      <c r="AL415" s="30">
        <v>0</v>
      </c>
      <c r="AM415" s="30">
        <v>0</v>
      </c>
      <c r="AN415" s="30">
        <v>0</v>
      </c>
      <c r="AO415" s="30">
        <v>0</v>
      </c>
      <c r="AP415" s="30">
        <v>0</v>
      </c>
      <c r="AQ415" s="30">
        <v>0</v>
      </c>
      <c r="AR415" s="30">
        <v>0</v>
      </c>
      <c r="AS415" s="30">
        <v>0</v>
      </c>
      <c r="AT415" s="30">
        <v>0</v>
      </c>
      <c r="AU415" s="30">
        <v>0</v>
      </c>
      <c r="AV415" s="30">
        <v>0</v>
      </c>
      <c r="AW415" s="30">
        <v>0</v>
      </c>
      <c r="AX415" s="30">
        <v>0</v>
      </c>
      <c r="AY415" s="30">
        <v>0</v>
      </c>
    </row>
    <row r="416" spans="1:51">
      <c r="A416" s="30" t="s">
        <v>619</v>
      </c>
      <c r="B416" s="30" t="s">
        <v>940</v>
      </c>
      <c r="C416" s="30">
        <v>2</v>
      </c>
      <c r="D416" s="30">
        <v>80</v>
      </c>
      <c r="E416" s="30">
        <v>160</v>
      </c>
      <c r="F416" s="30" t="s">
        <v>621</v>
      </c>
      <c r="G416" s="30" t="s">
        <v>648</v>
      </c>
      <c r="H416" s="30">
        <v>0.69314699999999996</v>
      </c>
      <c r="I416" s="30">
        <v>4.3820269999999999</v>
      </c>
      <c r="J416" s="30">
        <v>1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30">
        <v>0</v>
      </c>
      <c r="AG416" s="30">
        <v>0</v>
      </c>
      <c r="AH416" s="30">
        <v>0</v>
      </c>
      <c r="AI416" s="30">
        <v>0</v>
      </c>
      <c r="AJ416" s="30">
        <v>0</v>
      </c>
      <c r="AK416" s="30">
        <v>0</v>
      </c>
      <c r="AL416" s="30">
        <v>0</v>
      </c>
      <c r="AM416" s="30">
        <v>0</v>
      </c>
      <c r="AN416" s="30">
        <v>0</v>
      </c>
      <c r="AO416" s="30">
        <v>1</v>
      </c>
      <c r="AP416" s="30">
        <v>0</v>
      </c>
      <c r="AQ416" s="30">
        <v>0</v>
      </c>
      <c r="AR416" s="30">
        <v>0</v>
      </c>
      <c r="AS416" s="30">
        <v>0</v>
      </c>
      <c r="AT416" s="30">
        <v>0</v>
      </c>
      <c r="AU416" s="30">
        <v>0</v>
      </c>
      <c r="AV416" s="30">
        <v>0</v>
      </c>
      <c r="AW416" s="30">
        <v>0</v>
      </c>
      <c r="AX416" s="30">
        <v>0</v>
      </c>
      <c r="AY416" s="30">
        <v>0</v>
      </c>
    </row>
    <row r="417" spans="1:51">
      <c r="A417" s="30" t="s">
        <v>619</v>
      </c>
      <c r="B417" s="30" t="s">
        <v>941</v>
      </c>
      <c r="C417" s="30">
        <v>3</v>
      </c>
      <c r="D417" s="30">
        <v>40</v>
      </c>
      <c r="E417" s="30">
        <v>120</v>
      </c>
      <c r="F417" s="30" t="s">
        <v>621</v>
      </c>
      <c r="G417" s="30" t="s">
        <v>698</v>
      </c>
      <c r="H417" s="30">
        <v>1.0986119999999999</v>
      </c>
      <c r="I417" s="30">
        <v>3.688879</v>
      </c>
      <c r="J417" s="30">
        <v>1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30">
        <v>0</v>
      </c>
      <c r="AG417" s="30">
        <v>0</v>
      </c>
      <c r="AH417" s="30">
        <v>0</v>
      </c>
      <c r="AI417" s="30">
        <v>0</v>
      </c>
      <c r="AJ417" s="30">
        <v>0</v>
      </c>
      <c r="AK417" s="30">
        <v>0</v>
      </c>
      <c r="AL417" s="30">
        <v>0</v>
      </c>
      <c r="AM417" s="30">
        <v>0</v>
      </c>
      <c r="AN417" s="30">
        <v>0</v>
      </c>
      <c r="AO417" s="30">
        <v>0</v>
      </c>
      <c r="AP417" s="30">
        <v>0</v>
      </c>
      <c r="AQ417" s="30">
        <v>0</v>
      </c>
      <c r="AR417" s="30">
        <v>0</v>
      </c>
      <c r="AS417" s="30">
        <v>0</v>
      </c>
      <c r="AT417" s="30">
        <v>0</v>
      </c>
      <c r="AU417" s="30">
        <v>0</v>
      </c>
      <c r="AV417" s="30">
        <v>1</v>
      </c>
      <c r="AW417" s="30">
        <v>0</v>
      </c>
      <c r="AX417" s="30">
        <v>0</v>
      </c>
      <c r="AY417" s="30">
        <v>0</v>
      </c>
    </row>
    <row r="418" spans="1:51">
      <c r="A418" s="30" t="s">
        <v>619</v>
      </c>
      <c r="B418" s="30" t="s">
        <v>942</v>
      </c>
      <c r="C418" s="30">
        <v>5</v>
      </c>
      <c r="D418" s="30">
        <v>89</v>
      </c>
      <c r="E418" s="30">
        <v>444.25</v>
      </c>
      <c r="F418" s="30" t="s">
        <v>621</v>
      </c>
      <c r="G418" s="30" t="s">
        <v>648</v>
      </c>
      <c r="H418" s="30">
        <v>1.6094379999999999</v>
      </c>
      <c r="I418" s="30">
        <v>4.4886359999999996</v>
      </c>
      <c r="J418" s="30">
        <v>1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30">
        <v>0</v>
      </c>
      <c r="AG418" s="30">
        <v>0</v>
      </c>
      <c r="AH418" s="30">
        <v>0</v>
      </c>
      <c r="AI418" s="30">
        <v>0</v>
      </c>
      <c r="AJ418" s="30">
        <v>0</v>
      </c>
      <c r="AK418" s="30">
        <v>0</v>
      </c>
      <c r="AL418" s="30">
        <v>0</v>
      </c>
      <c r="AM418" s="30">
        <v>0</v>
      </c>
      <c r="AN418" s="30">
        <v>0</v>
      </c>
      <c r="AO418" s="30">
        <v>1</v>
      </c>
      <c r="AP418" s="30">
        <v>0</v>
      </c>
      <c r="AQ418" s="30">
        <v>0</v>
      </c>
      <c r="AR418" s="30">
        <v>0</v>
      </c>
      <c r="AS418" s="30">
        <v>0</v>
      </c>
      <c r="AT418" s="30">
        <v>0</v>
      </c>
      <c r="AU418" s="30">
        <v>0</v>
      </c>
      <c r="AV418" s="30">
        <v>0</v>
      </c>
      <c r="AW418" s="30">
        <v>0</v>
      </c>
      <c r="AX418" s="30">
        <v>0</v>
      </c>
      <c r="AY418" s="30">
        <v>0</v>
      </c>
    </row>
    <row r="419" spans="1:51">
      <c r="A419" s="30" t="s">
        <v>619</v>
      </c>
      <c r="B419" s="30" t="s">
        <v>943</v>
      </c>
      <c r="C419" s="30">
        <v>3</v>
      </c>
      <c r="D419" s="30">
        <v>949</v>
      </c>
      <c r="E419" s="30">
        <v>2847</v>
      </c>
      <c r="F419" s="30" t="s">
        <v>621</v>
      </c>
      <c r="G419" s="30" t="s">
        <v>624</v>
      </c>
      <c r="H419" s="30">
        <v>1.0986119999999999</v>
      </c>
      <c r="I419" s="30">
        <v>6.8554089999999999</v>
      </c>
      <c r="J419" s="30">
        <v>1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30">
        <v>0</v>
      </c>
      <c r="AG419" s="30">
        <v>0</v>
      </c>
      <c r="AH419" s="30">
        <v>0</v>
      </c>
      <c r="AI419" s="30">
        <v>0</v>
      </c>
      <c r="AJ419" s="30">
        <v>0</v>
      </c>
      <c r="AK419" s="30">
        <v>0</v>
      </c>
      <c r="AL419" s="30">
        <v>1</v>
      </c>
      <c r="AM419" s="30">
        <v>0</v>
      </c>
      <c r="AN419" s="30">
        <v>0</v>
      </c>
      <c r="AO419" s="30">
        <v>0</v>
      </c>
      <c r="AP419" s="30">
        <v>0</v>
      </c>
      <c r="AQ419" s="30">
        <v>0</v>
      </c>
      <c r="AR419" s="30">
        <v>0</v>
      </c>
      <c r="AS419" s="30">
        <v>0</v>
      </c>
      <c r="AT419" s="30">
        <v>0</v>
      </c>
      <c r="AU419" s="30">
        <v>0</v>
      </c>
      <c r="AV419" s="30">
        <v>0</v>
      </c>
      <c r="AW419" s="30">
        <v>0</v>
      </c>
      <c r="AX419" s="30">
        <v>0</v>
      </c>
      <c r="AY419" s="30">
        <v>0</v>
      </c>
    </row>
    <row r="420" spans="1:51">
      <c r="A420" s="30" t="s">
        <v>619</v>
      </c>
      <c r="B420" s="30" t="s">
        <v>944</v>
      </c>
      <c r="C420" s="30">
        <v>3</v>
      </c>
      <c r="D420" s="30">
        <v>612</v>
      </c>
      <c r="E420" s="30">
        <v>1827.9</v>
      </c>
      <c r="F420" s="30" t="s">
        <v>621</v>
      </c>
      <c r="G420" s="30" t="s">
        <v>638</v>
      </c>
      <c r="H420" s="30">
        <v>1.0986119999999999</v>
      </c>
      <c r="I420" s="30">
        <v>6.4167319999999997</v>
      </c>
      <c r="J420" s="30">
        <v>1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30">
        <v>0</v>
      </c>
      <c r="AG420" s="30">
        <v>0</v>
      </c>
      <c r="AH420" s="30">
        <v>0</v>
      </c>
      <c r="AI420" s="30">
        <v>0</v>
      </c>
      <c r="AJ420" s="30">
        <v>0</v>
      </c>
      <c r="AK420" s="30">
        <v>0</v>
      </c>
      <c r="AL420" s="30">
        <v>0</v>
      </c>
      <c r="AM420" s="30">
        <v>0</v>
      </c>
      <c r="AN420" s="30">
        <v>0</v>
      </c>
      <c r="AO420" s="30">
        <v>0</v>
      </c>
      <c r="AP420" s="30">
        <v>0</v>
      </c>
      <c r="AQ420" s="30">
        <v>0</v>
      </c>
      <c r="AR420" s="30">
        <v>0</v>
      </c>
      <c r="AS420" s="30">
        <v>0</v>
      </c>
      <c r="AT420" s="30">
        <v>0</v>
      </c>
      <c r="AU420" s="30">
        <v>0</v>
      </c>
      <c r="AV420" s="30">
        <v>0</v>
      </c>
      <c r="AW420" s="30">
        <v>0</v>
      </c>
      <c r="AX420" s="30">
        <v>0</v>
      </c>
      <c r="AY420" s="30">
        <v>0</v>
      </c>
    </row>
    <row r="421" spans="1:51">
      <c r="A421" s="30" t="s">
        <v>619</v>
      </c>
      <c r="B421" s="30" t="s">
        <v>945</v>
      </c>
      <c r="C421" s="30">
        <v>2</v>
      </c>
      <c r="D421" s="30">
        <v>1457</v>
      </c>
      <c r="E421" s="30">
        <v>2819.5</v>
      </c>
      <c r="F421" s="30" t="s">
        <v>621</v>
      </c>
      <c r="G421" s="30" t="s">
        <v>946</v>
      </c>
      <c r="H421" s="30">
        <v>0.69314699999999996</v>
      </c>
      <c r="I421" s="30">
        <v>7.284135</v>
      </c>
      <c r="J421" s="30">
        <v>1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30">
        <v>0</v>
      </c>
      <c r="AG421" s="30">
        <v>0</v>
      </c>
      <c r="AH421" s="30">
        <v>0</v>
      </c>
      <c r="AI421" s="30">
        <v>0</v>
      </c>
      <c r="AJ421" s="30">
        <v>0</v>
      </c>
      <c r="AK421" s="30">
        <v>0</v>
      </c>
      <c r="AL421" s="30">
        <v>0</v>
      </c>
      <c r="AM421" s="30">
        <v>0</v>
      </c>
      <c r="AN421" s="30">
        <v>1</v>
      </c>
      <c r="AO421" s="30">
        <v>0</v>
      </c>
      <c r="AP421" s="30">
        <v>0</v>
      </c>
      <c r="AQ421" s="30">
        <v>0</v>
      </c>
      <c r="AR421" s="30">
        <v>0</v>
      </c>
      <c r="AS421" s="30">
        <v>0</v>
      </c>
      <c r="AT421" s="30">
        <v>0</v>
      </c>
      <c r="AU421" s="30">
        <v>0</v>
      </c>
      <c r="AV421" s="30">
        <v>0</v>
      </c>
      <c r="AW421" s="30">
        <v>0</v>
      </c>
      <c r="AX421" s="30">
        <v>0</v>
      </c>
      <c r="AY421" s="30">
        <v>0</v>
      </c>
    </row>
    <row r="422" spans="1:51">
      <c r="A422" s="30" t="s">
        <v>619</v>
      </c>
      <c r="B422" s="30" t="s">
        <v>947</v>
      </c>
      <c r="C422" s="30">
        <v>5</v>
      </c>
      <c r="D422" s="30">
        <v>98</v>
      </c>
      <c r="E422" s="30">
        <v>490</v>
      </c>
      <c r="F422" s="30" t="s">
        <v>621</v>
      </c>
      <c r="G422" s="30" t="s">
        <v>648</v>
      </c>
      <c r="H422" s="30">
        <v>1.6094379999999999</v>
      </c>
      <c r="I422" s="30">
        <v>4.5849669999999998</v>
      </c>
      <c r="J422" s="30">
        <v>1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30">
        <v>0</v>
      </c>
      <c r="AG422" s="30">
        <v>0</v>
      </c>
      <c r="AH422" s="30">
        <v>0</v>
      </c>
      <c r="AI422" s="30">
        <v>0</v>
      </c>
      <c r="AJ422" s="30">
        <v>0</v>
      </c>
      <c r="AK422" s="30">
        <v>0</v>
      </c>
      <c r="AL422" s="30">
        <v>0</v>
      </c>
      <c r="AM422" s="30">
        <v>0</v>
      </c>
      <c r="AN422" s="30">
        <v>0</v>
      </c>
      <c r="AO422" s="30">
        <v>1</v>
      </c>
      <c r="AP422" s="30">
        <v>0</v>
      </c>
      <c r="AQ422" s="30">
        <v>0</v>
      </c>
      <c r="AR422" s="30">
        <v>0</v>
      </c>
      <c r="AS422" s="30">
        <v>0</v>
      </c>
      <c r="AT422" s="30">
        <v>0</v>
      </c>
      <c r="AU422" s="30">
        <v>0</v>
      </c>
      <c r="AV422" s="30">
        <v>0</v>
      </c>
      <c r="AW422" s="30">
        <v>0</v>
      </c>
      <c r="AX422" s="30">
        <v>0</v>
      </c>
      <c r="AY422" s="30">
        <v>0</v>
      </c>
    </row>
    <row r="423" spans="1:51">
      <c r="A423" s="30" t="s">
        <v>619</v>
      </c>
      <c r="B423" s="30" t="s">
        <v>948</v>
      </c>
      <c r="C423" s="30">
        <v>3</v>
      </c>
      <c r="D423" s="30">
        <v>536</v>
      </c>
      <c r="E423" s="30">
        <v>1608</v>
      </c>
      <c r="F423" s="30" t="s">
        <v>621</v>
      </c>
      <c r="G423" s="30" t="s">
        <v>624</v>
      </c>
      <c r="H423" s="30">
        <v>1.0986119999999999</v>
      </c>
      <c r="I423" s="30">
        <v>6.2841339999999999</v>
      </c>
      <c r="J423" s="30">
        <v>1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30">
        <v>0</v>
      </c>
      <c r="AG423" s="30">
        <v>0</v>
      </c>
      <c r="AH423" s="30">
        <v>0</v>
      </c>
      <c r="AI423" s="30">
        <v>0</v>
      </c>
      <c r="AJ423" s="30">
        <v>0</v>
      </c>
      <c r="AK423" s="30">
        <v>0</v>
      </c>
      <c r="AL423" s="30">
        <v>1</v>
      </c>
      <c r="AM423" s="30">
        <v>0</v>
      </c>
      <c r="AN423" s="30">
        <v>0</v>
      </c>
      <c r="AO423" s="30">
        <v>0</v>
      </c>
      <c r="AP423" s="30">
        <v>0</v>
      </c>
      <c r="AQ423" s="30">
        <v>0</v>
      </c>
      <c r="AR423" s="30">
        <v>0</v>
      </c>
      <c r="AS423" s="30">
        <v>0</v>
      </c>
      <c r="AT423" s="30">
        <v>0</v>
      </c>
      <c r="AU423" s="30">
        <v>0</v>
      </c>
      <c r="AV423" s="30">
        <v>0</v>
      </c>
      <c r="AW423" s="30">
        <v>0</v>
      </c>
      <c r="AX423" s="30">
        <v>0</v>
      </c>
      <c r="AY423" s="30">
        <v>0</v>
      </c>
    </row>
    <row r="424" spans="1:51">
      <c r="A424" s="30" t="s">
        <v>619</v>
      </c>
      <c r="B424" s="30" t="s">
        <v>949</v>
      </c>
      <c r="C424" s="30">
        <v>3</v>
      </c>
      <c r="D424" s="30">
        <v>21</v>
      </c>
      <c r="E424" s="30">
        <v>63</v>
      </c>
      <c r="F424" s="30" t="s">
        <v>621</v>
      </c>
      <c r="G424" s="30" t="s">
        <v>698</v>
      </c>
      <c r="H424" s="30">
        <v>1.0986119999999999</v>
      </c>
      <c r="I424" s="30">
        <v>3.0445220000000002</v>
      </c>
      <c r="J424" s="30">
        <v>1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30">
        <v>0</v>
      </c>
      <c r="AG424" s="30">
        <v>0</v>
      </c>
      <c r="AH424" s="30">
        <v>0</v>
      </c>
      <c r="AI424" s="30">
        <v>0</v>
      </c>
      <c r="AJ424" s="30">
        <v>0</v>
      </c>
      <c r="AK424" s="30">
        <v>0</v>
      </c>
      <c r="AL424" s="30">
        <v>0</v>
      </c>
      <c r="AM424" s="30">
        <v>0</v>
      </c>
      <c r="AN424" s="30">
        <v>0</v>
      </c>
      <c r="AO424" s="30">
        <v>0</v>
      </c>
      <c r="AP424" s="30">
        <v>0</v>
      </c>
      <c r="AQ424" s="30">
        <v>0</v>
      </c>
      <c r="AR424" s="30">
        <v>0</v>
      </c>
      <c r="AS424" s="30">
        <v>0</v>
      </c>
      <c r="AT424" s="30">
        <v>0</v>
      </c>
      <c r="AU424" s="30">
        <v>0</v>
      </c>
      <c r="AV424" s="30">
        <v>1</v>
      </c>
      <c r="AW424" s="30">
        <v>0</v>
      </c>
      <c r="AX424" s="30">
        <v>0</v>
      </c>
      <c r="AY424" s="30">
        <v>0</v>
      </c>
    </row>
    <row r="425" spans="1:51">
      <c r="A425" s="30" t="s">
        <v>619</v>
      </c>
      <c r="B425" s="30" t="s">
        <v>950</v>
      </c>
      <c r="C425" s="30">
        <v>3</v>
      </c>
      <c r="D425" s="30">
        <v>145</v>
      </c>
      <c r="E425" s="30">
        <v>435</v>
      </c>
      <c r="F425" s="30" t="s">
        <v>621</v>
      </c>
      <c r="G425" s="30" t="s">
        <v>624</v>
      </c>
      <c r="H425" s="30">
        <v>1.0986119999999999</v>
      </c>
      <c r="I425" s="30">
        <v>4.9767340000000004</v>
      </c>
      <c r="J425" s="30">
        <v>1</v>
      </c>
      <c r="K425" s="30">
        <v>0</v>
      </c>
      <c r="L425" s="30">
        <v>0</v>
      </c>
      <c r="M425" s="30">
        <v>0</v>
      </c>
      <c r="N425" s="30">
        <v>0</v>
      </c>
      <c r="O425" s="30">
        <v>0</v>
      </c>
      <c r="P425" s="30">
        <v>0</v>
      </c>
      <c r="Q425" s="30">
        <v>0</v>
      </c>
      <c r="R425" s="30">
        <v>0</v>
      </c>
      <c r="S425" s="30">
        <v>0</v>
      </c>
      <c r="T425" s="30">
        <v>0</v>
      </c>
      <c r="U425" s="30">
        <v>0</v>
      </c>
      <c r="V425" s="30">
        <v>0</v>
      </c>
      <c r="W425" s="30">
        <v>0</v>
      </c>
      <c r="X425" s="30">
        <v>0</v>
      </c>
      <c r="Y425" s="30">
        <v>0</v>
      </c>
      <c r="Z425" s="30">
        <v>0</v>
      </c>
      <c r="AA425" s="30">
        <v>0</v>
      </c>
      <c r="AB425" s="30">
        <v>0</v>
      </c>
      <c r="AC425" s="30">
        <v>0</v>
      </c>
      <c r="AD425" s="30">
        <v>0</v>
      </c>
      <c r="AE425" s="30">
        <v>0</v>
      </c>
      <c r="AF425" s="30">
        <v>0</v>
      </c>
      <c r="AG425" s="30">
        <v>0</v>
      </c>
      <c r="AH425" s="30">
        <v>0</v>
      </c>
      <c r="AI425" s="30">
        <v>0</v>
      </c>
      <c r="AJ425" s="30">
        <v>0</v>
      </c>
      <c r="AK425" s="30">
        <v>0</v>
      </c>
      <c r="AL425" s="30">
        <v>1</v>
      </c>
      <c r="AM425" s="30">
        <v>0</v>
      </c>
      <c r="AN425" s="30">
        <v>0</v>
      </c>
      <c r="AO425" s="30">
        <v>0</v>
      </c>
      <c r="AP425" s="30">
        <v>0</v>
      </c>
      <c r="AQ425" s="30">
        <v>0</v>
      </c>
      <c r="AR425" s="30">
        <v>0</v>
      </c>
      <c r="AS425" s="30">
        <v>0</v>
      </c>
      <c r="AT425" s="30">
        <v>0</v>
      </c>
      <c r="AU425" s="30">
        <v>0</v>
      </c>
      <c r="AV425" s="30">
        <v>0</v>
      </c>
      <c r="AW425" s="30">
        <v>0</v>
      </c>
      <c r="AX425" s="30">
        <v>0</v>
      </c>
      <c r="AY425" s="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2901-B276-4215-9593-403E7C358811}">
  <dimension ref="A1:I425"/>
  <sheetViews>
    <sheetView workbookViewId="0"/>
  </sheetViews>
  <sheetFormatPr defaultRowHeight="15"/>
  <sheetData>
    <row r="1" spans="1:9">
      <c r="A1" s="31" t="s">
        <v>465</v>
      </c>
      <c r="B1" s="32" t="s">
        <v>466</v>
      </c>
      <c r="C1" s="32" t="s">
        <v>467</v>
      </c>
      <c r="D1" s="32" t="s">
        <v>468</v>
      </c>
      <c r="E1" s="32" t="s">
        <v>155</v>
      </c>
      <c r="F1" s="32" t="s">
        <v>469</v>
      </c>
      <c r="G1" s="32" t="s">
        <v>470</v>
      </c>
      <c r="H1" s="32" t="s">
        <v>439</v>
      </c>
      <c r="I1" s="32" t="s">
        <v>471</v>
      </c>
    </row>
    <row r="2" spans="1:9">
      <c r="A2" s="30" t="s">
        <v>508</v>
      </c>
      <c r="B2" s="30" t="s">
        <v>509</v>
      </c>
      <c r="C2" s="30">
        <v>120</v>
      </c>
      <c r="D2" s="30">
        <v>69</v>
      </c>
      <c r="E2" s="30">
        <v>21747</v>
      </c>
      <c r="F2" s="30" t="s">
        <v>508</v>
      </c>
      <c r="G2" s="30" t="s">
        <v>510</v>
      </c>
      <c r="H2" s="30">
        <v>4.7874920000000003</v>
      </c>
      <c r="I2" s="30">
        <v>4.2341069999999998</v>
      </c>
    </row>
    <row r="3" spans="1:9">
      <c r="A3" s="30" t="s">
        <v>508</v>
      </c>
      <c r="B3" s="30" t="s">
        <v>511</v>
      </c>
      <c r="C3" s="30">
        <v>95</v>
      </c>
      <c r="D3" s="30">
        <v>48</v>
      </c>
      <c r="E3" s="30">
        <v>16071.72</v>
      </c>
      <c r="F3" s="30" t="s">
        <v>508</v>
      </c>
      <c r="G3" s="30" t="s">
        <v>512</v>
      </c>
      <c r="H3" s="30">
        <v>4.553877</v>
      </c>
      <c r="I3" s="30">
        <v>3.8712010000000001</v>
      </c>
    </row>
    <row r="4" spans="1:9">
      <c r="A4" s="30" t="s">
        <v>508</v>
      </c>
      <c r="B4" s="30" t="s">
        <v>513</v>
      </c>
      <c r="C4" s="30">
        <v>95</v>
      </c>
      <c r="D4" s="30">
        <v>25</v>
      </c>
      <c r="E4" s="30">
        <v>8020</v>
      </c>
      <c r="F4" s="30" t="s">
        <v>508</v>
      </c>
      <c r="G4" s="30" t="s">
        <v>514</v>
      </c>
      <c r="H4" s="30">
        <v>4.553877</v>
      </c>
      <c r="I4" s="30">
        <v>3.2188759999999998</v>
      </c>
    </row>
    <row r="5" spans="1:9">
      <c r="A5" s="30" t="s">
        <v>508</v>
      </c>
      <c r="B5" s="30" t="s">
        <v>515</v>
      </c>
      <c r="C5" s="30">
        <v>120</v>
      </c>
      <c r="D5" s="30">
        <v>90</v>
      </c>
      <c r="E5" s="30">
        <v>34169.800000000003</v>
      </c>
      <c r="F5" s="30" t="s">
        <v>508</v>
      </c>
      <c r="G5" s="30" t="s">
        <v>516</v>
      </c>
      <c r="H5" s="30">
        <v>4.7874920000000003</v>
      </c>
      <c r="I5" s="30">
        <v>4.4998100000000001</v>
      </c>
    </row>
    <row r="6" spans="1:9">
      <c r="A6" s="30" t="s">
        <v>508</v>
      </c>
      <c r="B6" s="30" t="s">
        <v>517</v>
      </c>
      <c r="C6" s="30">
        <v>95</v>
      </c>
      <c r="D6" s="30">
        <v>40</v>
      </c>
      <c r="E6" s="30">
        <v>15544</v>
      </c>
      <c r="F6" s="30" t="s">
        <v>508</v>
      </c>
      <c r="G6" s="30" t="s">
        <v>512</v>
      </c>
      <c r="H6" s="30">
        <v>4.553877</v>
      </c>
      <c r="I6" s="30">
        <v>3.688879</v>
      </c>
    </row>
    <row r="7" spans="1:9">
      <c r="A7" s="30" t="s">
        <v>508</v>
      </c>
      <c r="B7" s="30" t="s">
        <v>518</v>
      </c>
      <c r="C7" s="30">
        <v>95</v>
      </c>
      <c r="D7" s="30">
        <v>16</v>
      </c>
      <c r="E7" s="30">
        <v>7095</v>
      </c>
      <c r="F7" s="30" t="s">
        <v>508</v>
      </c>
      <c r="G7" s="30" t="s">
        <v>514</v>
      </c>
      <c r="H7" s="30">
        <v>4.553877</v>
      </c>
      <c r="I7" s="30">
        <v>2.772589</v>
      </c>
    </row>
    <row r="8" spans="1:9">
      <c r="A8" s="30" t="s">
        <v>508</v>
      </c>
      <c r="B8" s="30" t="s">
        <v>519</v>
      </c>
      <c r="C8" s="30">
        <v>35</v>
      </c>
      <c r="D8" s="30">
        <v>36</v>
      </c>
      <c r="E8" s="30">
        <v>6938</v>
      </c>
      <c r="F8" s="30" t="s">
        <v>508</v>
      </c>
      <c r="G8" s="30" t="s">
        <v>520</v>
      </c>
      <c r="H8" s="30">
        <v>3.555348</v>
      </c>
      <c r="I8" s="30">
        <v>3.5835189999999999</v>
      </c>
    </row>
    <row r="9" spans="1:9">
      <c r="A9" s="30" t="s">
        <v>508</v>
      </c>
      <c r="B9" s="30" t="s">
        <v>521</v>
      </c>
      <c r="C9" s="30">
        <v>120</v>
      </c>
      <c r="D9" s="30">
        <v>27</v>
      </c>
      <c r="E9" s="30">
        <v>11229.45</v>
      </c>
      <c r="F9" s="30" t="s">
        <v>508</v>
      </c>
      <c r="G9" s="30" t="s">
        <v>364</v>
      </c>
      <c r="H9" s="30">
        <v>4.7874920000000003</v>
      </c>
      <c r="I9" s="30">
        <v>3.2958370000000001</v>
      </c>
    </row>
    <row r="10" spans="1:9">
      <c r="A10" s="30" t="s">
        <v>508</v>
      </c>
      <c r="B10" s="30" t="s">
        <v>522</v>
      </c>
      <c r="C10" s="30">
        <v>120</v>
      </c>
      <c r="D10" s="30">
        <v>20</v>
      </c>
      <c r="E10" s="30">
        <v>9555</v>
      </c>
      <c r="F10" s="30" t="s">
        <v>508</v>
      </c>
      <c r="G10" s="30" t="s">
        <v>364</v>
      </c>
      <c r="H10" s="30">
        <v>4.7874920000000003</v>
      </c>
      <c r="I10" s="30">
        <v>2.9957319999999998</v>
      </c>
    </row>
    <row r="11" spans="1:9">
      <c r="A11" s="30" t="s">
        <v>508</v>
      </c>
      <c r="B11" s="30" t="s">
        <v>523</v>
      </c>
      <c r="C11" s="30">
        <v>105</v>
      </c>
      <c r="D11" s="30">
        <v>44</v>
      </c>
      <c r="E11" s="30">
        <v>17092.5</v>
      </c>
      <c r="F11" s="30" t="s">
        <v>508</v>
      </c>
      <c r="G11" s="30" t="s">
        <v>524</v>
      </c>
      <c r="H11" s="30">
        <v>4.6539599999999997</v>
      </c>
      <c r="I11" s="30">
        <v>3.7841900000000002</v>
      </c>
    </row>
    <row r="12" spans="1:9">
      <c r="A12" s="30" t="s">
        <v>508</v>
      </c>
      <c r="B12" s="30" t="s">
        <v>525</v>
      </c>
      <c r="C12" s="30">
        <v>35</v>
      </c>
      <c r="D12" s="30">
        <v>26</v>
      </c>
      <c r="E12" s="30">
        <v>3933.5</v>
      </c>
      <c r="F12" s="30" t="s">
        <v>508</v>
      </c>
      <c r="G12" s="30" t="s">
        <v>526</v>
      </c>
      <c r="H12" s="30">
        <v>3.555348</v>
      </c>
      <c r="I12" s="30">
        <v>3.2580969999999998</v>
      </c>
    </row>
    <row r="13" spans="1:9">
      <c r="A13" s="30" t="s">
        <v>508</v>
      </c>
      <c r="B13" s="30" t="s">
        <v>527</v>
      </c>
      <c r="C13" s="30">
        <v>65</v>
      </c>
      <c r="D13" s="30">
        <v>37</v>
      </c>
      <c r="E13" s="30">
        <v>10559.75</v>
      </c>
      <c r="F13" s="30" t="s">
        <v>508</v>
      </c>
      <c r="G13" s="30" t="s">
        <v>528</v>
      </c>
      <c r="H13" s="30">
        <v>4.1743870000000003</v>
      </c>
      <c r="I13" s="30">
        <v>3.6109179999999999</v>
      </c>
    </row>
    <row r="14" spans="1:9">
      <c r="A14" s="30" t="s">
        <v>508</v>
      </c>
      <c r="B14" s="30" t="s">
        <v>529</v>
      </c>
      <c r="C14" s="30">
        <v>35</v>
      </c>
      <c r="D14" s="30">
        <v>43</v>
      </c>
      <c r="E14" s="30">
        <v>8483.5</v>
      </c>
      <c r="F14" s="30" t="s">
        <v>508</v>
      </c>
      <c r="G14" s="30" t="s">
        <v>530</v>
      </c>
      <c r="H14" s="30">
        <v>3.555348</v>
      </c>
      <c r="I14" s="30">
        <v>3.7612000000000001</v>
      </c>
    </row>
    <row r="15" spans="1:9">
      <c r="A15" s="30" t="s">
        <v>508</v>
      </c>
      <c r="B15" s="30" t="s">
        <v>531</v>
      </c>
      <c r="C15" s="30">
        <v>120</v>
      </c>
      <c r="D15" s="30">
        <v>38</v>
      </c>
      <c r="E15" s="30">
        <v>8483.5</v>
      </c>
      <c r="F15" s="30" t="s">
        <v>508</v>
      </c>
      <c r="G15" s="30" t="s">
        <v>516</v>
      </c>
      <c r="H15" s="30">
        <v>4.7874920000000003</v>
      </c>
      <c r="I15" s="30">
        <v>3.6375860000000002</v>
      </c>
    </row>
    <row r="16" spans="1:9">
      <c r="A16" s="30" t="s">
        <v>508</v>
      </c>
      <c r="B16" s="30" t="s">
        <v>532</v>
      </c>
      <c r="C16" s="30">
        <v>130</v>
      </c>
      <c r="D16" s="30">
        <v>41</v>
      </c>
      <c r="E16" s="30">
        <v>17418</v>
      </c>
      <c r="F16" s="30" t="s">
        <v>508</v>
      </c>
      <c r="G16" s="30" t="s">
        <v>516</v>
      </c>
      <c r="H16" s="30">
        <v>4.867534</v>
      </c>
      <c r="I16" s="30">
        <v>3.7135720000000001</v>
      </c>
    </row>
    <row r="17" spans="1:9">
      <c r="A17" s="30" t="s">
        <v>508</v>
      </c>
      <c r="B17" s="30" t="s">
        <v>533</v>
      </c>
      <c r="C17" s="30">
        <v>90</v>
      </c>
      <c r="D17" s="30">
        <v>23</v>
      </c>
      <c r="E17" s="30">
        <v>20326</v>
      </c>
      <c r="F17" s="30" t="s">
        <v>508</v>
      </c>
      <c r="G17" s="30" t="s">
        <v>339</v>
      </c>
      <c r="H17" s="30">
        <v>4.4998100000000001</v>
      </c>
      <c r="I17" s="30">
        <v>3.135494</v>
      </c>
    </row>
    <row r="18" spans="1:9">
      <c r="A18" s="30" t="s">
        <v>508</v>
      </c>
      <c r="B18" s="30" t="s">
        <v>534</v>
      </c>
      <c r="C18" s="30">
        <v>130</v>
      </c>
      <c r="D18" s="30">
        <v>68</v>
      </c>
      <c r="E18" s="30">
        <v>8049.5</v>
      </c>
      <c r="F18" s="30" t="s">
        <v>508</v>
      </c>
      <c r="G18" s="30" t="s">
        <v>516</v>
      </c>
      <c r="H18" s="30">
        <v>4.867534</v>
      </c>
      <c r="I18" s="30">
        <v>4.2195080000000003</v>
      </c>
    </row>
    <row r="19" spans="1:9">
      <c r="A19" s="30" t="s">
        <v>508</v>
      </c>
      <c r="B19" s="30" t="s">
        <v>535</v>
      </c>
      <c r="C19" s="30">
        <v>90</v>
      </c>
      <c r="D19" s="30">
        <v>34</v>
      </c>
      <c r="E19" s="30">
        <v>22429</v>
      </c>
      <c r="F19" s="30" t="s">
        <v>508</v>
      </c>
      <c r="G19" s="30" t="s">
        <v>339</v>
      </c>
      <c r="H19" s="30">
        <v>4.4998100000000001</v>
      </c>
      <c r="I19" s="30">
        <v>3.5263610000000001</v>
      </c>
    </row>
    <row r="20" spans="1:9">
      <c r="A20" s="30" t="s">
        <v>508</v>
      </c>
      <c r="B20" s="30" t="s">
        <v>536</v>
      </c>
      <c r="C20" s="30">
        <v>80</v>
      </c>
      <c r="D20" s="30">
        <v>55</v>
      </c>
      <c r="E20" s="30">
        <v>15055</v>
      </c>
      <c r="F20" s="30" t="s">
        <v>508</v>
      </c>
      <c r="G20" s="30" t="s">
        <v>537</v>
      </c>
      <c r="H20" s="30">
        <v>4.3820269999999999</v>
      </c>
      <c r="I20" s="30">
        <v>4.007333</v>
      </c>
    </row>
    <row r="21" spans="1:9">
      <c r="A21" s="30" t="s">
        <v>508</v>
      </c>
      <c r="B21" s="30" t="s">
        <v>538</v>
      </c>
      <c r="C21" s="30">
        <v>40</v>
      </c>
      <c r="D21" s="30">
        <v>40</v>
      </c>
      <c r="E21" s="30">
        <v>15719</v>
      </c>
      <c r="F21" s="30" t="s">
        <v>508</v>
      </c>
      <c r="G21" s="30" t="s">
        <v>539</v>
      </c>
      <c r="H21" s="30">
        <v>3.688879</v>
      </c>
      <c r="I21" s="30">
        <v>3.688879</v>
      </c>
    </row>
    <row r="22" spans="1:9">
      <c r="A22" s="30" t="s">
        <v>508</v>
      </c>
      <c r="B22" s="30" t="s">
        <v>540</v>
      </c>
      <c r="C22" s="30">
        <v>130</v>
      </c>
      <c r="D22" s="30">
        <v>85</v>
      </c>
      <c r="E22" s="30">
        <v>7228</v>
      </c>
      <c r="F22" s="30" t="s">
        <v>508</v>
      </c>
      <c r="G22" s="30" t="s">
        <v>516</v>
      </c>
      <c r="H22" s="30">
        <v>4.867534</v>
      </c>
      <c r="I22" s="30">
        <v>4.4426509999999997</v>
      </c>
    </row>
    <row r="23" spans="1:9">
      <c r="A23" s="30" t="s">
        <v>508</v>
      </c>
      <c r="B23" s="30" t="s">
        <v>541</v>
      </c>
      <c r="C23" s="30">
        <v>90</v>
      </c>
      <c r="D23" s="30">
        <v>38</v>
      </c>
      <c r="E23" s="30">
        <v>38091</v>
      </c>
      <c r="F23" s="30" t="s">
        <v>508</v>
      </c>
      <c r="G23" s="30" t="s">
        <v>339</v>
      </c>
      <c r="H23" s="30">
        <v>4.4998100000000001</v>
      </c>
      <c r="I23" s="30">
        <v>3.6375860000000002</v>
      </c>
    </row>
    <row r="24" spans="1:9">
      <c r="A24" s="30" t="s">
        <v>508</v>
      </c>
      <c r="B24" s="30" t="s">
        <v>542</v>
      </c>
      <c r="C24" s="30">
        <v>80</v>
      </c>
      <c r="D24" s="30">
        <v>38</v>
      </c>
      <c r="E24" s="30">
        <v>15484.25</v>
      </c>
      <c r="F24" s="30" t="s">
        <v>508</v>
      </c>
      <c r="G24" s="30" t="s">
        <v>537</v>
      </c>
      <c r="H24" s="30">
        <v>4.3820269999999999</v>
      </c>
      <c r="I24" s="30">
        <v>3.6375860000000002</v>
      </c>
    </row>
    <row r="25" spans="1:9">
      <c r="A25" s="30" t="s">
        <v>508</v>
      </c>
      <c r="B25" s="30" t="s">
        <v>543</v>
      </c>
      <c r="C25" s="30">
        <v>40</v>
      </c>
      <c r="D25" s="30">
        <v>48</v>
      </c>
      <c r="E25" s="30">
        <v>12483</v>
      </c>
      <c r="F25" s="30" t="s">
        <v>508</v>
      </c>
      <c r="G25" s="30" t="s">
        <v>197</v>
      </c>
      <c r="H25" s="30">
        <v>3.688879</v>
      </c>
      <c r="I25" s="30">
        <v>3.8712010000000001</v>
      </c>
    </row>
    <row r="26" spans="1:9">
      <c r="A26" s="30" t="s">
        <v>508</v>
      </c>
      <c r="B26" s="30" t="s">
        <v>544</v>
      </c>
      <c r="C26" s="30">
        <v>80</v>
      </c>
      <c r="D26" s="30">
        <v>44</v>
      </c>
      <c r="E26" s="30">
        <v>8603</v>
      </c>
      <c r="F26" s="30" t="s">
        <v>508</v>
      </c>
      <c r="G26" s="30" t="s">
        <v>211</v>
      </c>
      <c r="H26" s="30">
        <v>4.3820269999999999</v>
      </c>
      <c r="I26" s="30">
        <v>3.7841900000000002</v>
      </c>
    </row>
    <row r="27" spans="1:9">
      <c r="A27" s="30" t="s">
        <v>508</v>
      </c>
      <c r="B27" s="30" t="s">
        <v>545</v>
      </c>
      <c r="C27" s="30">
        <v>100</v>
      </c>
      <c r="D27" s="30">
        <v>55</v>
      </c>
      <c r="E27" s="30">
        <v>17414</v>
      </c>
      <c r="F27" s="30" t="s">
        <v>508</v>
      </c>
      <c r="G27" s="30" t="s">
        <v>546</v>
      </c>
      <c r="H27" s="30">
        <v>4.6051700000000002</v>
      </c>
      <c r="I27" s="30">
        <v>4.007333</v>
      </c>
    </row>
    <row r="28" spans="1:9">
      <c r="A28" s="30" t="s">
        <v>508</v>
      </c>
      <c r="B28" s="30" t="s">
        <v>547</v>
      </c>
      <c r="C28" s="30">
        <v>130</v>
      </c>
      <c r="D28" s="30">
        <v>28</v>
      </c>
      <c r="E28" s="30">
        <v>22843</v>
      </c>
      <c r="F28" s="30" t="s">
        <v>508</v>
      </c>
      <c r="G28" s="30" t="s">
        <v>364</v>
      </c>
      <c r="H28" s="30">
        <v>4.867534</v>
      </c>
      <c r="I28" s="30">
        <v>3.3322050000000001</v>
      </c>
    </row>
    <row r="29" spans="1:9">
      <c r="A29" s="30" t="s">
        <v>508</v>
      </c>
      <c r="B29" s="30" t="s">
        <v>548</v>
      </c>
      <c r="C29" s="30">
        <v>130</v>
      </c>
      <c r="D29" s="30">
        <v>12</v>
      </c>
      <c r="E29" s="30">
        <v>13726</v>
      </c>
      <c r="F29" s="30" t="s">
        <v>508</v>
      </c>
      <c r="G29" s="30" t="s">
        <v>364</v>
      </c>
      <c r="H29" s="30">
        <v>4.867534</v>
      </c>
      <c r="I29" s="30">
        <v>2.4849070000000002</v>
      </c>
    </row>
    <row r="30" spans="1:9">
      <c r="A30" s="30" t="s">
        <v>508</v>
      </c>
      <c r="B30" s="30" t="s">
        <v>549</v>
      </c>
      <c r="C30" s="30">
        <v>40</v>
      </c>
      <c r="D30" s="30">
        <v>46</v>
      </c>
      <c r="E30" s="30">
        <v>6550</v>
      </c>
      <c r="F30" s="30" t="s">
        <v>508</v>
      </c>
      <c r="G30" s="30" t="s">
        <v>407</v>
      </c>
      <c r="H30" s="30">
        <v>3.688879</v>
      </c>
      <c r="I30" s="30">
        <v>3.8286410000000002</v>
      </c>
    </row>
    <row r="31" spans="1:9">
      <c r="A31" s="30" t="s">
        <v>508</v>
      </c>
      <c r="B31" s="30" t="s">
        <v>550</v>
      </c>
      <c r="C31" s="30">
        <v>40</v>
      </c>
      <c r="D31" s="30">
        <v>34</v>
      </c>
      <c r="E31" s="30">
        <v>11092</v>
      </c>
      <c r="F31" s="30" t="s">
        <v>508</v>
      </c>
      <c r="G31" s="30" t="s">
        <v>539</v>
      </c>
      <c r="H31" s="30">
        <v>3.688879</v>
      </c>
      <c r="I31" s="30">
        <v>3.5263610000000001</v>
      </c>
    </row>
    <row r="32" spans="1:9">
      <c r="A32" s="30" t="s">
        <v>508</v>
      </c>
      <c r="B32" s="30" t="s">
        <v>551</v>
      </c>
      <c r="C32" s="30">
        <v>75</v>
      </c>
      <c r="D32" s="30">
        <v>45</v>
      </c>
      <c r="E32" s="30">
        <v>7355</v>
      </c>
      <c r="F32" s="30" t="s">
        <v>508</v>
      </c>
      <c r="G32" s="30" t="s">
        <v>552</v>
      </c>
      <c r="H32" s="30">
        <v>4.317488</v>
      </c>
      <c r="I32" s="30">
        <v>3.8066620000000002</v>
      </c>
    </row>
    <row r="33" spans="1:9">
      <c r="A33" s="30" t="s">
        <v>508</v>
      </c>
      <c r="B33" s="30" t="s">
        <v>553</v>
      </c>
      <c r="C33" s="30">
        <v>45</v>
      </c>
      <c r="D33" s="30">
        <v>31</v>
      </c>
      <c r="E33" s="30">
        <v>11381.2</v>
      </c>
      <c r="F33" s="30" t="s">
        <v>508</v>
      </c>
      <c r="G33" s="30" t="s">
        <v>539</v>
      </c>
      <c r="H33" s="30">
        <v>3.8066620000000002</v>
      </c>
      <c r="I33" s="30">
        <v>3.4339870000000001</v>
      </c>
    </row>
    <row r="34" spans="1:9">
      <c r="A34" s="30" t="s">
        <v>508</v>
      </c>
      <c r="B34" s="30" t="s">
        <v>554</v>
      </c>
      <c r="C34" s="30">
        <v>130</v>
      </c>
      <c r="D34" s="30">
        <v>39</v>
      </c>
      <c r="E34" s="30">
        <v>6701.95</v>
      </c>
      <c r="F34" s="30" t="s">
        <v>508</v>
      </c>
      <c r="G34" s="30" t="s">
        <v>516</v>
      </c>
      <c r="H34" s="30">
        <v>4.867534</v>
      </c>
      <c r="I34" s="30">
        <v>3.6635620000000002</v>
      </c>
    </row>
    <row r="35" spans="1:9">
      <c r="A35" s="30" t="s">
        <v>508</v>
      </c>
      <c r="B35" s="30" t="s">
        <v>555</v>
      </c>
      <c r="C35" s="30">
        <v>105</v>
      </c>
      <c r="D35" s="30">
        <v>26</v>
      </c>
      <c r="E35" s="30">
        <v>20131.14</v>
      </c>
      <c r="F35" s="30" t="s">
        <v>508</v>
      </c>
      <c r="G35" s="30" t="s">
        <v>339</v>
      </c>
      <c r="H35" s="30">
        <v>4.6539599999999997</v>
      </c>
      <c r="I35" s="30">
        <v>3.2580969999999998</v>
      </c>
    </row>
    <row r="36" spans="1:9">
      <c r="A36" s="30" t="s">
        <v>508</v>
      </c>
      <c r="B36" s="30" t="s">
        <v>556</v>
      </c>
      <c r="C36" s="30">
        <v>130</v>
      </c>
      <c r="D36" s="30">
        <v>47</v>
      </c>
      <c r="E36" s="30">
        <v>9226.8799999999992</v>
      </c>
      <c r="F36" s="30" t="s">
        <v>508</v>
      </c>
      <c r="G36" s="30" t="s">
        <v>516</v>
      </c>
      <c r="H36" s="30">
        <v>4.867534</v>
      </c>
      <c r="I36" s="30">
        <v>3.8501479999999999</v>
      </c>
    </row>
    <row r="37" spans="1:9">
      <c r="A37" s="30" t="s">
        <v>508</v>
      </c>
      <c r="B37" s="30" t="s">
        <v>557</v>
      </c>
      <c r="C37" s="30">
        <v>105</v>
      </c>
      <c r="D37" s="30">
        <v>41</v>
      </c>
      <c r="E37" s="30">
        <v>22508</v>
      </c>
      <c r="F37" s="30" t="s">
        <v>508</v>
      </c>
      <c r="G37" s="30" t="s">
        <v>339</v>
      </c>
      <c r="H37" s="30">
        <v>4.6539599999999997</v>
      </c>
      <c r="I37" s="30">
        <v>3.7135720000000001</v>
      </c>
    </row>
    <row r="38" spans="1:9">
      <c r="A38" s="30" t="s">
        <v>508</v>
      </c>
      <c r="B38" s="30" t="s">
        <v>558</v>
      </c>
      <c r="C38" s="30">
        <v>105</v>
      </c>
      <c r="D38" s="30">
        <v>38</v>
      </c>
      <c r="E38" s="30">
        <v>17268</v>
      </c>
      <c r="F38" s="30" t="s">
        <v>508</v>
      </c>
      <c r="G38" s="30" t="s">
        <v>537</v>
      </c>
      <c r="H38" s="30">
        <v>4.6539599999999997</v>
      </c>
      <c r="I38" s="30">
        <v>3.6375860000000002</v>
      </c>
    </row>
    <row r="39" spans="1:9">
      <c r="A39" s="30" t="s">
        <v>508</v>
      </c>
      <c r="B39" s="30" t="s">
        <v>559</v>
      </c>
      <c r="C39" s="30">
        <v>45</v>
      </c>
      <c r="D39" s="30">
        <v>34</v>
      </c>
      <c r="E39" s="30">
        <v>16210</v>
      </c>
      <c r="F39" s="30" t="s">
        <v>508</v>
      </c>
      <c r="G39" s="30" t="s">
        <v>539</v>
      </c>
      <c r="H39" s="30">
        <v>3.8066620000000002</v>
      </c>
      <c r="I39" s="30">
        <v>3.5263610000000001</v>
      </c>
    </row>
    <row r="40" spans="1:9">
      <c r="A40" s="30" t="s">
        <v>508</v>
      </c>
      <c r="B40" s="30" t="s">
        <v>560</v>
      </c>
      <c r="C40" s="30">
        <v>130</v>
      </c>
      <c r="D40" s="30">
        <v>90</v>
      </c>
      <c r="E40" s="30">
        <v>7005</v>
      </c>
      <c r="F40" s="30" t="s">
        <v>508</v>
      </c>
      <c r="G40" s="30" t="s">
        <v>516</v>
      </c>
      <c r="H40" s="30">
        <v>4.867534</v>
      </c>
      <c r="I40" s="30">
        <v>4.4998100000000001</v>
      </c>
    </row>
    <row r="41" spans="1:9">
      <c r="A41" s="30" t="s">
        <v>508</v>
      </c>
      <c r="B41" s="30" t="s">
        <v>561</v>
      </c>
      <c r="C41" s="30">
        <v>105</v>
      </c>
      <c r="D41" s="30">
        <v>44</v>
      </c>
      <c r="E41" s="30">
        <v>34836.78</v>
      </c>
      <c r="F41" s="30" t="s">
        <v>508</v>
      </c>
      <c r="G41" s="30" t="s">
        <v>339</v>
      </c>
      <c r="H41" s="30">
        <v>4.6539599999999997</v>
      </c>
      <c r="I41" s="30">
        <v>3.7841900000000002</v>
      </c>
    </row>
    <row r="42" spans="1:9">
      <c r="A42" s="30" t="s">
        <v>508</v>
      </c>
      <c r="B42" s="30" t="s">
        <v>562</v>
      </c>
      <c r="C42" s="30">
        <v>105</v>
      </c>
      <c r="D42" s="30">
        <v>44</v>
      </c>
      <c r="E42" s="30">
        <v>18878.75</v>
      </c>
      <c r="F42" s="30" t="s">
        <v>508</v>
      </c>
      <c r="G42" s="30" t="s">
        <v>537</v>
      </c>
      <c r="H42" s="30">
        <v>4.6539599999999997</v>
      </c>
      <c r="I42" s="30">
        <v>3.7841900000000002</v>
      </c>
    </row>
    <row r="43" spans="1:9">
      <c r="A43" s="30" t="s">
        <v>508</v>
      </c>
      <c r="B43" s="30" t="s">
        <v>563</v>
      </c>
      <c r="C43" s="30">
        <v>45</v>
      </c>
      <c r="D43" s="30">
        <v>57</v>
      </c>
      <c r="E43" s="30">
        <v>16586</v>
      </c>
      <c r="F43" s="30" t="s">
        <v>508</v>
      </c>
      <c r="G43" s="30" t="s">
        <v>197</v>
      </c>
      <c r="H43" s="30">
        <v>3.8066620000000002</v>
      </c>
      <c r="I43" s="30">
        <v>4.0430510000000002</v>
      </c>
    </row>
    <row r="44" spans="1:9">
      <c r="A44" s="30" t="s">
        <v>508</v>
      </c>
      <c r="B44" s="30" t="s">
        <v>564</v>
      </c>
      <c r="C44" s="30">
        <v>80</v>
      </c>
      <c r="D44" s="30">
        <v>40</v>
      </c>
      <c r="E44" s="30">
        <v>9433.01</v>
      </c>
      <c r="F44" s="30" t="s">
        <v>508</v>
      </c>
      <c r="G44" s="30" t="s">
        <v>211</v>
      </c>
      <c r="H44" s="30">
        <v>4.3820269999999999</v>
      </c>
      <c r="I44" s="30">
        <v>3.688879</v>
      </c>
    </row>
    <row r="45" spans="1:9">
      <c r="A45" s="30" t="s">
        <v>508</v>
      </c>
      <c r="B45" s="30" t="s">
        <v>565</v>
      </c>
      <c r="C45" s="30">
        <v>100</v>
      </c>
      <c r="D45" s="30">
        <v>60</v>
      </c>
      <c r="E45" s="30">
        <v>16378</v>
      </c>
      <c r="F45" s="30" t="s">
        <v>508</v>
      </c>
      <c r="G45" s="30" t="s">
        <v>546</v>
      </c>
      <c r="H45" s="30">
        <v>4.6051700000000002</v>
      </c>
      <c r="I45" s="30">
        <v>4.0943449999999997</v>
      </c>
    </row>
    <row r="46" spans="1:9">
      <c r="A46" s="30" t="s">
        <v>508</v>
      </c>
      <c r="B46" s="30" t="s">
        <v>566</v>
      </c>
      <c r="C46" s="30">
        <v>130</v>
      </c>
      <c r="D46" s="30">
        <v>33</v>
      </c>
      <c r="E46" s="30">
        <v>23227</v>
      </c>
      <c r="F46" s="30" t="s">
        <v>508</v>
      </c>
      <c r="G46" s="30" t="s">
        <v>364</v>
      </c>
      <c r="H46" s="30">
        <v>4.867534</v>
      </c>
      <c r="I46" s="30">
        <v>3.4965079999999999</v>
      </c>
    </row>
    <row r="47" spans="1:9">
      <c r="A47" s="30" t="s">
        <v>508</v>
      </c>
      <c r="B47" s="30" t="s">
        <v>567</v>
      </c>
      <c r="C47" s="30">
        <v>130</v>
      </c>
      <c r="D47" s="30">
        <v>19</v>
      </c>
      <c r="E47" s="30">
        <v>19855.43</v>
      </c>
      <c r="F47" s="30" t="s">
        <v>508</v>
      </c>
      <c r="G47" s="30" t="s">
        <v>364</v>
      </c>
      <c r="H47" s="30">
        <v>4.867534</v>
      </c>
      <c r="I47" s="30">
        <v>2.944439</v>
      </c>
    </row>
    <row r="48" spans="1:9">
      <c r="A48" s="30" t="s">
        <v>508</v>
      </c>
      <c r="B48" s="30" t="s">
        <v>568</v>
      </c>
      <c r="C48" s="30">
        <v>75</v>
      </c>
      <c r="D48" s="30">
        <v>46</v>
      </c>
      <c r="E48" s="30">
        <v>9369.2900000000009</v>
      </c>
      <c r="F48" s="30" t="s">
        <v>508</v>
      </c>
      <c r="G48" s="30" t="s">
        <v>372</v>
      </c>
      <c r="H48" s="30">
        <v>4.317488</v>
      </c>
      <c r="I48" s="30">
        <v>3.8286410000000002</v>
      </c>
    </row>
    <row r="49" spans="1:9">
      <c r="A49" s="30" t="s">
        <v>508</v>
      </c>
      <c r="B49" s="30" t="s">
        <v>569</v>
      </c>
      <c r="C49" s="30">
        <v>45</v>
      </c>
      <c r="D49" s="30">
        <v>54</v>
      </c>
      <c r="E49" s="30">
        <v>12513</v>
      </c>
      <c r="F49" s="30" t="s">
        <v>508</v>
      </c>
      <c r="G49" s="30" t="s">
        <v>570</v>
      </c>
      <c r="H49" s="30">
        <v>3.8066620000000002</v>
      </c>
      <c r="I49" s="30">
        <v>3.9889839999999999</v>
      </c>
    </row>
    <row r="50" spans="1:9">
      <c r="A50" s="30" t="s">
        <v>571</v>
      </c>
      <c r="B50" s="30" t="s">
        <v>572</v>
      </c>
      <c r="C50" s="30">
        <v>6</v>
      </c>
      <c r="D50" s="30">
        <v>1</v>
      </c>
      <c r="E50" s="30">
        <v>6</v>
      </c>
      <c r="F50" s="30" t="s">
        <v>571</v>
      </c>
      <c r="G50" s="30" t="s">
        <v>951</v>
      </c>
      <c r="H50" s="30">
        <v>1.7917590000000001</v>
      </c>
      <c r="I50" s="30">
        <v>0</v>
      </c>
    </row>
    <row r="51" spans="1:9">
      <c r="A51" s="30" t="s">
        <v>571</v>
      </c>
      <c r="B51" s="30" t="s">
        <v>573</v>
      </c>
      <c r="C51" s="30">
        <v>10</v>
      </c>
      <c r="D51" s="30">
        <v>494</v>
      </c>
      <c r="E51" s="30">
        <v>990</v>
      </c>
      <c r="F51" s="30" t="s">
        <v>571</v>
      </c>
      <c r="G51" s="30" t="s">
        <v>951</v>
      </c>
      <c r="H51" s="30">
        <v>2.3025850000000001</v>
      </c>
      <c r="I51" s="30">
        <v>6.2025360000000003</v>
      </c>
    </row>
    <row r="52" spans="1:9">
      <c r="A52" s="30" t="s">
        <v>571</v>
      </c>
      <c r="B52" s="30" t="s">
        <v>574</v>
      </c>
      <c r="C52" s="30">
        <v>10</v>
      </c>
      <c r="D52" s="30">
        <v>1</v>
      </c>
      <c r="E52" s="30">
        <v>10</v>
      </c>
      <c r="F52" s="30" t="s">
        <v>571</v>
      </c>
      <c r="G52" s="30" t="s">
        <v>951</v>
      </c>
      <c r="H52" s="30">
        <v>2.3025850000000001</v>
      </c>
      <c r="I52" s="30">
        <v>0</v>
      </c>
    </row>
    <row r="53" spans="1:9">
      <c r="A53" s="30" t="s">
        <v>571</v>
      </c>
      <c r="B53" s="30" t="s">
        <v>575</v>
      </c>
      <c r="C53" s="30">
        <v>10</v>
      </c>
      <c r="D53" s="30">
        <v>266</v>
      </c>
      <c r="E53" s="30">
        <v>3840</v>
      </c>
      <c r="F53" s="30" t="s">
        <v>571</v>
      </c>
      <c r="G53" s="30" t="s">
        <v>951</v>
      </c>
      <c r="H53" s="30">
        <v>2.3025850000000001</v>
      </c>
      <c r="I53" s="30">
        <v>5.5834960000000002</v>
      </c>
    </row>
    <row r="54" spans="1:9">
      <c r="A54" s="30" t="s">
        <v>571</v>
      </c>
      <c r="B54" s="30" t="s">
        <v>576</v>
      </c>
      <c r="C54" s="30">
        <v>10</v>
      </c>
      <c r="D54" s="30">
        <v>917</v>
      </c>
      <c r="E54" s="30">
        <v>12410</v>
      </c>
      <c r="F54" s="30" t="s">
        <v>571</v>
      </c>
      <c r="G54" s="30" t="s">
        <v>951</v>
      </c>
      <c r="H54" s="30">
        <v>2.3025850000000001</v>
      </c>
      <c r="I54" s="30">
        <v>6.8211069999999996</v>
      </c>
    </row>
    <row r="55" spans="1:9">
      <c r="A55" s="30" t="s">
        <v>571</v>
      </c>
      <c r="B55" s="30" t="s">
        <v>577</v>
      </c>
      <c r="C55" s="30">
        <v>10</v>
      </c>
      <c r="D55" s="30">
        <v>1</v>
      </c>
      <c r="E55" s="30">
        <v>20</v>
      </c>
      <c r="F55" s="30" t="s">
        <v>571</v>
      </c>
      <c r="G55" s="30" t="s">
        <v>951</v>
      </c>
      <c r="H55" s="30">
        <v>2.3025850000000001</v>
      </c>
      <c r="I55" s="30">
        <v>0</v>
      </c>
    </row>
    <row r="56" spans="1:9">
      <c r="A56" s="30" t="s">
        <v>571</v>
      </c>
      <c r="B56" s="30" t="s">
        <v>578</v>
      </c>
      <c r="C56" s="30">
        <v>10</v>
      </c>
      <c r="D56" s="30">
        <v>77</v>
      </c>
      <c r="E56" s="30">
        <v>870</v>
      </c>
      <c r="F56" s="30" t="s">
        <v>571</v>
      </c>
      <c r="G56" s="30" t="s">
        <v>951</v>
      </c>
      <c r="H56" s="30">
        <v>2.3025850000000001</v>
      </c>
      <c r="I56" s="30">
        <v>4.3438049999999997</v>
      </c>
    </row>
    <row r="57" spans="1:9">
      <c r="A57" s="30" t="s">
        <v>571</v>
      </c>
      <c r="B57" s="30" t="s">
        <v>579</v>
      </c>
      <c r="C57" s="30">
        <v>10</v>
      </c>
      <c r="D57" s="30">
        <v>101</v>
      </c>
      <c r="E57" s="30">
        <v>1240</v>
      </c>
      <c r="F57" s="30" t="s">
        <v>571</v>
      </c>
      <c r="G57" s="30" t="s">
        <v>951</v>
      </c>
      <c r="H57" s="30">
        <v>2.3025850000000001</v>
      </c>
      <c r="I57" s="30">
        <v>4.6151210000000003</v>
      </c>
    </row>
    <row r="58" spans="1:9">
      <c r="A58" s="30" t="s">
        <v>571</v>
      </c>
      <c r="B58" s="30" t="s">
        <v>580</v>
      </c>
      <c r="C58" s="30">
        <v>10</v>
      </c>
      <c r="D58" s="30">
        <v>6</v>
      </c>
      <c r="E58" s="30">
        <v>70</v>
      </c>
      <c r="F58" s="30" t="s">
        <v>571</v>
      </c>
      <c r="G58" s="30" t="s">
        <v>951</v>
      </c>
      <c r="H58" s="30">
        <v>2.3025850000000001</v>
      </c>
      <c r="I58" s="30">
        <v>1.7917590000000001</v>
      </c>
    </row>
    <row r="59" spans="1:9">
      <c r="A59" s="30" t="s">
        <v>571</v>
      </c>
      <c r="B59" s="30" t="s">
        <v>575</v>
      </c>
      <c r="C59" s="30">
        <v>10</v>
      </c>
      <c r="D59" s="30">
        <v>1023</v>
      </c>
      <c r="E59" s="30">
        <v>13210</v>
      </c>
      <c r="F59" s="30" t="s">
        <v>571</v>
      </c>
      <c r="G59" s="30" t="s">
        <v>951</v>
      </c>
      <c r="H59" s="30">
        <v>2.3025850000000001</v>
      </c>
      <c r="I59" s="30">
        <v>6.9304949999999996</v>
      </c>
    </row>
    <row r="60" spans="1:9">
      <c r="A60" s="30" t="s">
        <v>571</v>
      </c>
      <c r="B60" s="30" t="s">
        <v>576</v>
      </c>
      <c r="C60" s="30">
        <v>10</v>
      </c>
      <c r="D60" s="30">
        <v>61</v>
      </c>
      <c r="E60" s="30">
        <v>730</v>
      </c>
      <c r="F60" s="30" t="s">
        <v>571</v>
      </c>
      <c r="G60" s="30" t="s">
        <v>951</v>
      </c>
      <c r="H60" s="30">
        <v>2.3025850000000001</v>
      </c>
      <c r="I60" s="30">
        <v>4.1108739999999999</v>
      </c>
    </row>
    <row r="61" spans="1:9">
      <c r="A61" s="30" t="s">
        <v>571</v>
      </c>
      <c r="B61" s="30" t="s">
        <v>578</v>
      </c>
      <c r="C61" s="30">
        <v>10</v>
      </c>
      <c r="D61" s="30">
        <v>22</v>
      </c>
      <c r="E61" s="30">
        <v>280</v>
      </c>
      <c r="F61" s="30" t="s">
        <v>571</v>
      </c>
      <c r="G61" s="30" t="s">
        <v>951</v>
      </c>
      <c r="H61" s="30">
        <v>2.3025850000000001</v>
      </c>
      <c r="I61" s="30">
        <v>3.0910419999999998</v>
      </c>
    </row>
    <row r="62" spans="1:9">
      <c r="A62" s="30" t="s">
        <v>571</v>
      </c>
      <c r="B62" s="30" t="s">
        <v>579</v>
      </c>
      <c r="C62" s="30">
        <v>10</v>
      </c>
      <c r="D62" s="30">
        <v>21</v>
      </c>
      <c r="E62" s="30">
        <v>230</v>
      </c>
      <c r="F62" s="30" t="s">
        <v>571</v>
      </c>
      <c r="G62" s="30" t="s">
        <v>951</v>
      </c>
      <c r="H62" s="30">
        <v>2.3025850000000001</v>
      </c>
      <c r="I62" s="30">
        <v>3.0445220000000002</v>
      </c>
    </row>
    <row r="63" spans="1:9">
      <c r="A63" s="30" t="s">
        <v>571</v>
      </c>
      <c r="B63" s="30" t="s">
        <v>580</v>
      </c>
      <c r="C63" s="30">
        <v>10</v>
      </c>
      <c r="D63" s="30">
        <v>3</v>
      </c>
      <c r="E63" s="30">
        <v>50</v>
      </c>
      <c r="F63" s="30" t="s">
        <v>571</v>
      </c>
      <c r="G63" s="30" t="s">
        <v>951</v>
      </c>
      <c r="H63" s="30">
        <v>2.3025850000000001</v>
      </c>
      <c r="I63" s="30">
        <v>1.0986119999999999</v>
      </c>
    </row>
    <row r="64" spans="1:9">
      <c r="A64" s="30" t="s">
        <v>571</v>
      </c>
      <c r="B64" s="30" t="s">
        <v>581</v>
      </c>
      <c r="C64" s="30">
        <v>15</v>
      </c>
      <c r="D64" s="30">
        <v>2</v>
      </c>
      <c r="E64" s="30">
        <v>15</v>
      </c>
      <c r="F64" s="30" t="s">
        <v>571</v>
      </c>
      <c r="G64" s="30" t="s">
        <v>951</v>
      </c>
      <c r="H64" s="30">
        <v>2.7080500000000001</v>
      </c>
      <c r="I64" s="30">
        <v>0.69314699999999996</v>
      </c>
    </row>
    <row r="65" spans="1:9">
      <c r="A65" s="30" t="s">
        <v>571</v>
      </c>
      <c r="B65" s="30" t="s">
        <v>582</v>
      </c>
      <c r="C65" s="30">
        <v>15</v>
      </c>
      <c r="D65" s="30">
        <v>267</v>
      </c>
      <c r="E65" s="30">
        <v>4125</v>
      </c>
      <c r="F65" s="30" t="s">
        <v>571</v>
      </c>
      <c r="G65" s="30" t="s">
        <v>951</v>
      </c>
      <c r="H65" s="30">
        <v>2.7080500000000001</v>
      </c>
      <c r="I65" s="30">
        <v>5.5872489999999999</v>
      </c>
    </row>
    <row r="66" spans="1:9">
      <c r="A66" s="30" t="s">
        <v>571</v>
      </c>
      <c r="B66" s="30" t="s">
        <v>583</v>
      </c>
      <c r="C66" s="30">
        <v>15</v>
      </c>
      <c r="D66" s="30">
        <v>240</v>
      </c>
      <c r="E66" s="30">
        <v>4440</v>
      </c>
      <c r="F66" s="30" t="s">
        <v>571</v>
      </c>
      <c r="G66" s="30" t="s">
        <v>951</v>
      </c>
      <c r="H66" s="30">
        <v>2.7080500000000001</v>
      </c>
      <c r="I66" s="30">
        <v>5.480639</v>
      </c>
    </row>
    <row r="67" spans="1:9">
      <c r="A67" s="30" t="s">
        <v>571</v>
      </c>
      <c r="B67" s="30" t="s">
        <v>584</v>
      </c>
      <c r="C67" s="30">
        <v>15</v>
      </c>
      <c r="D67" s="30">
        <v>161</v>
      </c>
      <c r="E67" s="30">
        <v>3390</v>
      </c>
      <c r="F67" s="30" t="s">
        <v>571</v>
      </c>
      <c r="G67" s="30" t="s">
        <v>951</v>
      </c>
      <c r="H67" s="30">
        <v>2.7080500000000001</v>
      </c>
      <c r="I67" s="30">
        <v>5.081404</v>
      </c>
    </row>
    <row r="68" spans="1:9">
      <c r="A68" s="30" t="s">
        <v>571</v>
      </c>
      <c r="B68" s="30" t="s">
        <v>585</v>
      </c>
      <c r="C68" s="30">
        <v>15</v>
      </c>
      <c r="D68" s="30">
        <v>14</v>
      </c>
      <c r="E68" s="30">
        <v>195</v>
      </c>
      <c r="F68" s="30" t="s">
        <v>571</v>
      </c>
      <c r="G68" s="30" t="s">
        <v>951</v>
      </c>
      <c r="H68" s="30">
        <v>2.7080500000000001</v>
      </c>
      <c r="I68" s="30">
        <v>2.6390570000000002</v>
      </c>
    </row>
    <row r="69" spans="1:9">
      <c r="A69" s="30" t="s">
        <v>571</v>
      </c>
      <c r="B69" s="30" t="s">
        <v>586</v>
      </c>
      <c r="C69" s="30">
        <v>15</v>
      </c>
      <c r="D69" s="30">
        <v>47</v>
      </c>
      <c r="E69" s="30">
        <v>825</v>
      </c>
      <c r="F69" s="30" t="s">
        <v>571</v>
      </c>
      <c r="G69" s="30" t="s">
        <v>951</v>
      </c>
      <c r="H69" s="30">
        <v>2.7080500000000001</v>
      </c>
      <c r="I69" s="30">
        <v>3.8501479999999999</v>
      </c>
    </row>
    <row r="70" spans="1:9">
      <c r="A70" s="30" t="s">
        <v>571</v>
      </c>
      <c r="B70" s="30" t="s">
        <v>587</v>
      </c>
      <c r="C70" s="30">
        <v>15</v>
      </c>
      <c r="D70" s="30">
        <v>264</v>
      </c>
      <c r="E70" s="30">
        <v>5460</v>
      </c>
      <c r="F70" s="30" t="s">
        <v>571</v>
      </c>
      <c r="G70" s="30" t="s">
        <v>951</v>
      </c>
      <c r="H70" s="30">
        <v>2.7080500000000001</v>
      </c>
      <c r="I70" s="30">
        <v>5.5759489999999996</v>
      </c>
    </row>
    <row r="71" spans="1:9">
      <c r="A71" s="30" t="s">
        <v>571</v>
      </c>
      <c r="B71" s="30" t="s">
        <v>588</v>
      </c>
      <c r="C71" s="30">
        <v>15</v>
      </c>
      <c r="D71" s="30">
        <v>51</v>
      </c>
      <c r="E71" s="30">
        <v>1065</v>
      </c>
      <c r="F71" s="30" t="s">
        <v>571</v>
      </c>
      <c r="G71" s="30" t="s">
        <v>951</v>
      </c>
      <c r="H71" s="30">
        <v>2.7080500000000001</v>
      </c>
      <c r="I71" s="30">
        <v>3.931826</v>
      </c>
    </row>
    <row r="72" spans="1:9">
      <c r="A72" s="30" t="s">
        <v>571</v>
      </c>
      <c r="B72" s="30" t="s">
        <v>582</v>
      </c>
      <c r="C72" s="30">
        <v>15</v>
      </c>
      <c r="D72" s="30">
        <v>160</v>
      </c>
      <c r="E72" s="30">
        <v>2430</v>
      </c>
      <c r="F72" s="30" t="s">
        <v>571</v>
      </c>
      <c r="G72" s="30" t="s">
        <v>951</v>
      </c>
      <c r="H72" s="30">
        <v>2.7080500000000001</v>
      </c>
      <c r="I72" s="30">
        <v>5.0751739999999996</v>
      </c>
    </row>
    <row r="73" spans="1:9">
      <c r="A73" s="30" t="s">
        <v>571</v>
      </c>
      <c r="B73" s="30" t="s">
        <v>583</v>
      </c>
      <c r="C73" s="30">
        <v>15</v>
      </c>
      <c r="D73" s="30">
        <v>2</v>
      </c>
      <c r="E73" s="30">
        <v>15</v>
      </c>
      <c r="F73" s="30" t="s">
        <v>571</v>
      </c>
      <c r="G73" s="30" t="s">
        <v>951</v>
      </c>
      <c r="H73" s="30">
        <v>2.7080500000000001</v>
      </c>
      <c r="I73" s="30">
        <v>0.69314699999999996</v>
      </c>
    </row>
    <row r="74" spans="1:9">
      <c r="A74" s="30" t="s">
        <v>571</v>
      </c>
      <c r="B74" s="30" t="s">
        <v>584</v>
      </c>
      <c r="C74" s="30">
        <v>15</v>
      </c>
      <c r="D74" s="30">
        <v>466</v>
      </c>
      <c r="E74" s="30">
        <v>8325</v>
      </c>
      <c r="F74" s="30" t="s">
        <v>571</v>
      </c>
      <c r="G74" s="30" t="s">
        <v>951</v>
      </c>
      <c r="H74" s="30">
        <v>2.7080500000000001</v>
      </c>
      <c r="I74" s="30">
        <v>6.1441860000000004</v>
      </c>
    </row>
    <row r="75" spans="1:9">
      <c r="A75" s="30" t="s">
        <v>571</v>
      </c>
      <c r="B75" s="30" t="s">
        <v>586</v>
      </c>
      <c r="C75" s="30">
        <v>15</v>
      </c>
      <c r="D75" s="30">
        <v>3</v>
      </c>
      <c r="E75" s="30">
        <v>45</v>
      </c>
      <c r="F75" s="30" t="s">
        <v>571</v>
      </c>
      <c r="G75" s="30" t="s">
        <v>951</v>
      </c>
      <c r="H75" s="30">
        <v>2.7080500000000001</v>
      </c>
      <c r="I75" s="30">
        <v>1.0986119999999999</v>
      </c>
    </row>
    <row r="76" spans="1:9">
      <c r="A76" s="30" t="s">
        <v>571</v>
      </c>
      <c r="B76" s="30" t="s">
        <v>587</v>
      </c>
      <c r="C76" s="30">
        <v>15</v>
      </c>
      <c r="D76" s="30">
        <v>158</v>
      </c>
      <c r="E76" s="30">
        <v>2775</v>
      </c>
      <c r="F76" s="30" t="s">
        <v>571</v>
      </c>
      <c r="G76" s="30" t="s">
        <v>951</v>
      </c>
      <c r="H76" s="30">
        <v>2.7080500000000001</v>
      </c>
      <c r="I76" s="30">
        <v>5.062595</v>
      </c>
    </row>
    <row r="77" spans="1:9">
      <c r="A77" s="30" t="s">
        <v>571</v>
      </c>
      <c r="B77" s="30" t="s">
        <v>589</v>
      </c>
      <c r="C77" s="30">
        <v>15</v>
      </c>
      <c r="D77" s="30">
        <v>3</v>
      </c>
      <c r="E77" s="30">
        <v>45</v>
      </c>
      <c r="F77" s="30" t="s">
        <v>571</v>
      </c>
      <c r="G77" s="30" t="s">
        <v>951</v>
      </c>
      <c r="H77" s="30">
        <v>2.7080500000000001</v>
      </c>
      <c r="I77" s="30">
        <v>1.0986119999999999</v>
      </c>
    </row>
    <row r="78" spans="1:9">
      <c r="A78" s="30" t="s">
        <v>571</v>
      </c>
      <c r="B78" s="30" t="s">
        <v>590</v>
      </c>
      <c r="C78" s="30">
        <v>20</v>
      </c>
      <c r="D78" s="30">
        <v>1532</v>
      </c>
      <c r="E78" s="30">
        <v>9560</v>
      </c>
      <c r="F78" s="30" t="s">
        <v>571</v>
      </c>
      <c r="G78" s="30" t="s">
        <v>951</v>
      </c>
      <c r="H78" s="30">
        <v>2.9957319999999998</v>
      </c>
      <c r="I78" s="30">
        <v>7.3343290000000003</v>
      </c>
    </row>
    <row r="79" spans="1:9">
      <c r="A79" s="30" t="s">
        <v>571</v>
      </c>
      <c r="B79" s="30" t="s">
        <v>591</v>
      </c>
      <c r="C79" s="30">
        <v>20</v>
      </c>
      <c r="D79" s="30">
        <v>4</v>
      </c>
      <c r="E79" s="30">
        <v>95</v>
      </c>
      <c r="F79" s="30" t="s">
        <v>571</v>
      </c>
      <c r="G79" s="30" t="s">
        <v>951</v>
      </c>
      <c r="H79" s="30">
        <v>2.9957319999999998</v>
      </c>
      <c r="I79" s="30">
        <v>1.3862939999999999</v>
      </c>
    </row>
    <row r="80" spans="1:9">
      <c r="A80" s="30" t="s">
        <v>571</v>
      </c>
      <c r="B80" s="30" t="s">
        <v>592</v>
      </c>
      <c r="C80" s="30">
        <v>20</v>
      </c>
      <c r="D80" s="30">
        <v>81</v>
      </c>
      <c r="E80" s="30">
        <v>1920</v>
      </c>
      <c r="F80" s="30" t="s">
        <v>571</v>
      </c>
      <c r="G80" s="30" t="s">
        <v>951</v>
      </c>
      <c r="H80" s="30">
        <v>2.9957319999999998</v>
      </c>
      <c r="I80" s="30">
        <v>4.3944489999999998</v>
      </c>
    </row>
    <row r="81" spans="1:9">
      <c r="A81" s="30" t="s">
        <v>571</v>
      </c>
      <c r="B81" s="30" t="s">
        <v>593</v>
      </c>
      <c r="C81" s="30">
        <v>20</v>
      </c>
      <c r="D81" s="30">
        <v>33</v>
      </c>
      <c r="E81" s="30">
        <v>760</v>
      </c>
      <c r="F81" s="30" t="s">
        <v>571</v>
      </c>
      <c r="G81" s="30" t="s">
        <v>951</v>
      </c>
      <c r="H81" s="30">
        <v>2.9957319999999998</v>
      </c>
      <c r="I81" s="30">
        <v>3.4965079999999999</v>
      </c>
    </row>
    <row r="82" spans="1:9">
      <c r="A82" s="30" t="s">
        <v>571</v>
      </c>
      <c r="B82" s="30" t="s">
        <v>594</v>
      </c>
      <c r="C82" s="30">
        <v>20</v>
      </c>
      <c r="D82" s="30">
        <v>6</v>
      </c>
      <c r="E82" s="30">
        <v>120</v>
      </c>
      <c r="F82" s="30" t="s">
        <v>571</v>
      </c>
      <c r="G82" s="30" t="s">
        <v>951</v>
      </c>
      <c r="H82" s="30">
        <v>2.9957319999999998</v>
      </c>
      <c r="I82" s="30">
        <v>1.7917590000000001</v>
      </c>
    </row>
    <row r="83" spans="1:9">
      <c r="A83" s="30" t="s">
        <v>571</v>
      </c>
      <c r="B83" s="30" t="s">
        <v>589</v>
      </c>
      <c r="C83" s="30">
        <v>20</v>
      </c>
      <c r="D83" s="30">
        <v>21</v>
      </c>
      <c r="E83" s="30">
        <v>735</v>
      </c>
      <c r="F83" s="30" t="s">
        <v>571</v>
      </c>
      <c r="G83" s="30" t="s">
        <v>951</v>
      </c>
      <c r="H83" s="30">
        <v>2.9957319999999998</v>
      </c>
      <c r="I83" s="30">
        <v>3.0445220000000002</v>
      </c>
    </row>
    <row r="84" spans="1:9">
      <c r="A84" s="30" t="s">
        <v>571</v>
      </c>
      <c r="B84" s="30" t="s">
        <v>595</v>
      </c>
      <c r="C84" s="30">
        <v>20</v>
      </c>
      <c r="D84" s="30">
        <v>439</v>
      </c>
      <c r="E84" s="30">
        <v>970</v>
      </c>
      <c r="F84" s="30" t="s">
        <v>571</v>
      </c>
      <c r="G84" s="30" t="s">
        <v>951</v>
      </c>
      <c r="H84" s="30">
        <v>2.9957319999999998</v>
      </c>
      <c r="I84" s="30">
        <v>6.0844990000000001</v>
      </c>
    </row>
    <row r="85" spans="1:9">
      <c r="A85" s="30" t="s">
        <v>571</v>
      </c>
      <c r="B85" s="30" t="s">
        <v>596</v>
      </c>
      <c r="C85" s="30">
        <v>20</v>
      </c>
      <c r="D85" s="30">
        <v>95</v>
      </c>
      <c r="E85" s="30">
        <v>2110</v>
      </c>
      <c r="F85" s="30" t="s">
        <v>571</v>
      </c>
      <c r="G85" s="30" t="s">
        <v>951</v>
      </c>
      <c r="H85" s="30">
        <v>2.9957319999999998</v>
      </c>
      <c r="I85" s="30">
        <v>4.553877</v>
      </c>
    </row>
    <row r="86" spans="1:9">
      <c r="A86" s="30" t="s">
        <v>571</v>
      </c>
      <c r="B86" s="30" t="s">
        <v>593</v>
      </c>
      <c r="C86" s="30">
        <v>20</v>
      </c>
      <c r="D86" s="30">
        <v>2</v>
      </c>
      <c r="E86" s="30">
        <v>40</v>
      </c>
      <c r="F86" s="30" t="s">
        <v>571</v>
      </c>
      <c r="G86" s="30" t="s">
        <v>951</v>
      </c>
      <c r="H86" s="30">
        <v>2.9957319999999998</v>
      </c>
      <c r="I86" s="30">
        <v>0.69314699999999996</v>
      </c>
    </row>
    <row r="87" spans="1:9">
      <c r="A87" s="30" t="s">
        <v>571</v>
      </c>
      <c r="B87" s="30" t="s">
        <v>597</v>
      </c>
      <c r="C87" s="30">
        <v>25</v>
      </c>
      <c r="D87" s="30">
        <v>318</v>
      </c>
      <c r="E87" s="30">
        <v>500</v>
      </c>
      <c r="F87" s="30" t="s">
        <v>571</v>
      </c>
      <c r="G87" s="30" t="s">
        <v>951</v>
      </c>
      <c r="H87" s="30">
        <v>3.2188759999999998</v>
      </c>
      <c r="I87" s="30">
        <v>5.7620509999999996</v>
      </c>
    </row>
    <row r="88" spans="1:9">
      <c r="A88" s="30" t="s">
        <v>571</v>
      </c>
      <c r="B88" s="30" t="s">
        <v>598</v>
      </c>
      <c r="C88" s="30">
        <v>25</v>
      </c>
      <c r="D88" s="30">
        <v>98</v>
      </c>
      <c r="E88" s="30">
        <v>2725</v>
      </c>
      <c r="F88" s="30" t="s">
        <v>571</v>
      </c>
      <c r="G88" s="30" t="s">
        <v>951</v>
      </c>
      <c r="H88" s="30">
        <v>3.2188759999999998</v>
      </c>
      <c r="I88" s="30">
        <v>4.5849669999999998</v>
      </c>
    </row>
    <row r="89" spans="1:9">
      <c r="A89" s="30" t="s">
        <v>571</v>
      </c>
      <c r="B89" s="30" t="s">
        <v>599</v>
      </c>
      <c r="C89" s="30">
        <v>25</v>
      </c>
      <c r="D89" s="30">
        <v>288</v>
      </c>
      <c r="E89" s="30">
        <v>375</v>
      </c>
      <c r="F89" s="30" t="s">
        <v>571</v>
      </c>
      <c r="G89" s="30" t="s">
        <v>951</v>
      </c>
      <c r="H89" s="30">
        <v>3.2188759999999998</v>
      </c>
      <c r="I89" s="30">
        <v>5.66296</v>
      </c>
    </row>
    <row r="90" spans="1:9">
      <c r="A90" s="30" t="s">
        <v>571</v>
      </c>
      <c r="B90" s="30" t="s">
        <v>598</v>
      </c>
      <c r="C90" s="30">
        <v>25</v>
      </c>
      <c r="D90" s="30">
        <v>35</v>
      </c>
      <c r="E90" s="30">
        <v>1025</v>
      </c>
      <c r="F90" s="30" t="s">
        <v>571</v>
      </c>
      <c r="G90" s="30" t="s">
        <v>951</v>
      </c>
      <c r="H90" s="30">
        <v>3.2188759999999998</v>
      </c>
      <c r="I90" s="30">
        <v>3.555348</v>
      </c>
    </row>
    <row r="91" spans="1:9">
      <c r="A91" s="30" t="s">
        <v>571</v>
      </c>
      <c r="B91" s="30" t="s">
        <v>600</v>
      </c>
      <c r="C91" s="30">
        <v>30</v>
      </c>
      <c r="D91" s="30">
        <v>532</v>
      </c>
      <c r="E91" s="30">
        <v>15930</v>
      </c>
      <c r="F91" s="30" t="s">
        <v>571</v>
      </c>
      <c r="G91" s="30" t="s">
        <v>951</v>
      </c>
      <c r="H91" s="30">
        <v>3.4011969999999998</v>
      </c>
      <c r="I91" s="30">
        <v>6.276643</v>
      </c>
    </row>
    <row r="92" spans="1:9">
      <c r="A92" s="30" t="s">
        <v>571</v>
      </c>
      <c r="B92" s="30" t="s">
        <v>601</v>
      </c>
      <c r="C92" s="30">
        <v>30</v>
      </c>
      <c r="D92" s="30">
        <v>169</v>
      </c>
      <c r="E92" s="30">
        <v>195</v>
      </c>
      <c r="F92" s="30" t="s">
        <v>571</v>
      </c>
      <c r="G92" s="30" t="s">
        <v>951</v>
      </c>
      <c r="H92" s="30">
        <v>3.4011969999999998</v>
      </c>
      <c r="I92" s="30">
        <v>5.129899</v>
      </c>
    </row>
    <row r="93" spans="1:9">
      <c r="A93" s="30" t="s">
        <v>571</v>
      </c>
      <c r="B93" s="30" t="s">
        <v>602</v>
      </c>
      <c r="C93" s="30">
        <v>30</v>
      </c>
      <c r="D93" s="30">
        <v>77</v>
      </c>
      <c r="E93" s="30">
        <v>960</v>
      </c>
      <c r="F93" s="30" t="s">
        <v>571</v>
      </c>
      <c r="G93" s="30" t="s">
        <v>951</v>
      </c>
      <c r="H93" s="30">
        <v>3.4011969999999998</v>
      </c>
      <c r="I93" s="30">
        <v>4.3438049999999997</v>
      </c>
    </row>
    <row r="94" spans="1:9">
      <c r="A94" s="30" t="s">
        <v>571</v>
      </c>
      <c r="B94" s="30" t="s">
        <v>603</v>
      </c>
      <c r="C94" s="30">
        <v>30</v>
      </c>
      <c r="D94" s="30">
        <v>727</v>
      </c>
      <c r="E94" s="30">
        <v>21750</v>
      </c>
      <c r="F94" s="30" t="s">
        <v>571</v>
      </c>
      <c r="G94" s="30" t="s">
        <v>951</v>
      </c>
      <c r="H94" s="30">
        <v>3.4011969999999998</v>
      </c>
      <c r="I94" s="30">
        <v>6.5889259999999998</v>
      </c>
    </row>
    <row r="95" spans="1:9">
      <c r="A95" s="30" t="s">
        <v>571</v>
      </c>
      <c r="B95" s="30" t="s">
        <v>604</v>
      </c>
      <c r="C95" s="30">
        <v>30</v>
      </c>
      <c r="D95" s="30">
        <v>146</v>
      </c>
      <c r="E95" s="30">
        <v>270</v>
      </c>
      <c r="F95" s="30" t="s">
        <v>571</v>
      </c>
      <c r="G95" s="30" t="s">
        <v>951</v>
      </c>
      <c r="H95" s="30">
        <v>3.4011969999999998</v>
      </c>
      <c r="I95" s="30">
        <v>4.9836070000000001</v>
      </c>
    </row>
    <row r="96" spans="1:9">
      <c r="A96" s="30" t="s">
        <v>571</v>
      </c>
      <c r="B96" s="30" t="s">
        <v>602</v>
      </c>
      <c r="C96" s="30">
        <v>30</v>
      </c>
      <c r="D96" s="30">
        <v>55</v>
      </c>
      <c r="E96" s="30">
        <v>180</v>
      </c>
      <c r="F96" s="30" t="s">
        <v>571</v>
      </c>
      <c r="G96" s="30" t="s">
        <v>951</v>
      </c>
      <c r="H96" s="30">
        <v>3.4011969999999998</v>
      </c>
      <c r="I96" s="30">
        <v>4.007333</v>
      </c>
    </row>
    <row r="97" spans="1:9">
      <c r="A97" s="30" t="s">
        <v>571</v>
      </c>
      <c r="B97" s="30" t="s">
        <v>605</v>
      </c>
      <c r="C97" s="30">
        <v>40</v>
      </c>
      <c r="D97" s="30">
        <v>671</v>
      </c>
      <c r="E97" s="30">
        <v>26840</v>
      </c>
      <c r="F97" s="30" t="s">
        <v>571</v>
      </c>
      <c r="G97" s="30" t="s">
        <v>951</v>
      </c>
      <c r="H97" s="30">
        <v>3.688879</v>
      </c>
      <c r="I97" s="30">
        <v>6.508769</v>
      </c>
    </row>
    <row r="98" spans="1:9">
      <c r="A98" s="30" t="s">
        <v>571</v>
      </c>
      <c r="B98" s="30" t="s">
        <v>606</v>
      </c>
      <c r="C98" s="30">
        <v>40</v>
      </c>
      <c r="D98" s="30">
        <v>188</v>
      </c>
      <c r="E98" s="30">
        <v>7460</v>
      </c>
      <c r="F98" s="30" t="s">
        <v>571</v>
      </c>
      <c r="G98" s="30" t="s">
        <v>951</v>
      </c>
      <c r="H98" s="30">
        <v>3.688879</v>
      </c>
      <c r="I98" s="30">
        <v>5.2364420000000003</v>
      </c>
    </row>
    <row r="99" spans="1:9">
      <c r="A99" s="30" t="s">
        <v>571</v>
      </c>
      <c r="B99" s="30" t="s">
        <v>607</v>
      </c>
      <c r="C99" s="30">
        <v>40</v>
      </c>
      <c r="D99" s="30">
        <v>265</v>
      </c>
      <c r="E99" s="30">
        <v>13250</v>
      </c>
      <c r="F99" s="30" t="s">
        <v>571</v>
      </c>
      <c r="G99" s="30" t="s">
        <v>951</v>
      </c>
      <c r="H99" s="30">
        <v>3.688879</v>
      </c>
      <c r="I99" s="30">
        <v>5.5797299999999996</v>
      </c>
    </row>
    <row r="100" spans="1:9">
      <c r="A100" s="30" t="s">
        <v>571</v>
      </c>
      <c r="B100" s="30" t="s">
        <v>608</v>
      </c>
      <c r="C100" s="30">
        <v>40</v>
      </c>
      <c r="D100" s="30">
        <v>1534</v>
      </c>
      <c r="E100" s="30">
        <v>11200</v>
      </c>
      <c r="F100" s="30" t="s">
        <v>571</v>
      </c>
      <c r="G100" s="30" t="s">
        <v>951</v>
      </c>
      <c r="H100" s="30">
        <v>3.688879</v>
      </c>
      <c r="I100" s="30">
        <v>7.3356339999999998</v>
      </c>
    </row>
    <row r="101" spans="1:9">
      <c r="A101" s="30" t="s">
        <v>571</v>
      </c>
      <c r="B101" s="30" t="s">
        <v>609</v>
      </c>
      <c r="C101" s="30">
        <v>40</v>
      </c>
      <c r="D101" s="30">
        <v>175</v>
      </c>
      <c r="E101" s="30">
        <v>6976</v>
      </c>
      <c r="F101" s="30" t="s">
        <v>571</v>
      </c>
      <c r="G101" s="30" t="s">
        <v>951</v>
      </c>
      <c r="H101" s="30">
        <v>3.688879</v>
      </c>
      <c r="I101" s="30">
        <v>5.1647860000000003</v>
      </c>
    </row>
    <row r="102" spans="1:9">
      <c r="A102" s="30" t="s">
        <v>571</v>
      </c>
      <c r="B102" s="30" t="s">
        <v>610</v>
      </c>
      <c r="C102" s="30">
        <v>45</v>
      </c>
      <c r="D102" s="30">
        <v>61</v>
      </c>
      <c r="E102" s="30">
        <v>2728</v>
      </c>
      <c r="F102" s="30" t="s">
        <v>571</v>
      </c>
      <c r="G102" s="30" t="s">
        <v>951</v>
      </c>
      <c r="H102" s="30">
        <v>3.8066620000000002</v>
      </c>
      <c r="I102" s="30">
        <v>4.1108739999999999</v>
      </c>
    </row>
    <row r="103" spans="1:9">
      <c r="A103" s="30" t="s">
        <v>571</v>
      </c>
      <c r="B103" s="30" t="s">
        <v>610</v>
      </c>
      <c r="C103" s="30">
        <v>45</v>
      </c>
      <c r="D103" s="30">
        <v>25</v>
      </c>
      <c r="E103" s="30">
        <v>1170</v>
      </c>
      <c r="F103" s="30" t="s">
        <v>571</v>
      </c>
      <c r="G103" s="30" t="s">
        <v>951</v>
      </c>
      <c r="H103" s="30">
        <v>3.8066620000000002</v>
      </c>
      <c r="I103" s="30">
        <v>3.2188759999999998</v>
      </c>
    </row>
    <row r="104" spans="1:9">
      <c r="A104" s="30" t="s">
        <v>571</v>
      </c>
      <c r="B104" s="30" t="s">
        <v>611</v>
      </c>
      <c r="C104" s="30">
        <v>50</v>
      </c>
      <c r="D104" s="30">
        <v>216</v>
      </c>
      <c r="E104" s="30">
        <v>10750</v>
      </c>
      <c r="F104" s="30" t="s">
        <v>571</v>
      </c>
      <c r="G104" s="30" t="s">
        <v>951</v>
      </c>
      <c r="H104" s="30">
        <v>3.912023</v>
      </c>
      <c r="I104" s="30">
        <v>5.3752779999999998</v>
      </c>
    </row>
    <row r="105" spans="1:9">
      <c r="A105" s="30" t="s">
        <v>571</v>
      </c>
      <c r="B105" s="30" t="s">
        <v>612</v>
      </c>
      <c r="C105" s="30">
        <v>50</v>
      </c>
      <c r="D105" s="30">
        <v>2756</v>
      </c>
      <c r="E105" s="30">
        <v>26675</v>
      </c>
      <c r="F105" s="30" t="s">
        <v>571</v>
      </c>
      <c r="G105" s="30" t="s">
        <v>951</v>
      </c>
      <c r="H105" s="30">
        <v>3.912023</v>
      </c>
      <c r="I105" s="30">
        <v>7.9215359999999997</v>
      </c>
    </row>
    <row r="106" spans="1:9">
      <c r="A106" s="30" t="s">
        <v>571</v>
      </c>
      <c r="B106" s="30" t="s">
        <v>613</v>
      </c>
      <c r="C106" s="30">
        <v>50</v>
      </c>
      <c r="D106" s="30">
        <v>726</v>
      </c>
      <c r="E106" s="30">
        <v>29000</v>
      </c>
      <c r="F106" s="30" t="s">
        <v>571</v>
      </c>
      <c r="G106" s="30" t="s">
        <v>951</v>
      </c>
      <c r="H106" s="30">
        <v>3.912023</v>
      </c>
      <c r="I106" s="30">
        <v>6.5875500000000002</v>
      </c>
    </row>
    <row r="107" spans="1:9">
      <c r="A107" s="30" t="s">
        <v>571</v>
      </c>
      <c r="B107" s="30" t="s">
        <v>614</v>
      </c>
      <c r="C107" s="30">
        <v>50</v>
      </c>
      <c r="D107" s="30">
        <v>2712</v>
      </c>
      <c r="E107" s="30">
        <v>25375</v>
      </c>
      <c r="F107" s="30" t="s">
        <v>571</v>
      </c>
      <c r="G107" s="30" t="s">
        <v>951</v>
      </c>
      <c r="H107" s="30">
        <v>3.912023</v>
      </c>
      <c r="I107" s="30">
        <v>7.9054419999999999</v>
      </c>
    </row>
    <row r="108" spans="1:9">
      <c r="A108" s="30" t="s">
        <v>571</v>
      </c>
      <c r="B108" s="30" t="s">
        <v>615</v>
      </c>
      <c r="C108" s="30">
        <v>60</v>
      </c>
      <c r="D108" s="30">
        <v>1369</v>
      </c>
      <c r="E108" s="30">
        <v>15150</v>
      </c>
      <c r="F108" s="30" t="s">
        <v>571</v>
      </c>
      <c r="G108" s="30" t="s">
        <v>951</v>
      </c>
      <c r="H108" s="30">
        <v>4.0943449999999997</v>
      </c>
      <c r="I108" s="30">
        <v>7.2218359999999997</v>
      </c>
    </row>
    <row r="109" spans="1:9">
      <c r="A109" s="30" t="s">
        <v>571</v>
      </c>
      <c r="B109" s="30" t="s">
        <v>616</v>
      </c>
      <c r="C109" s="30">
        <v>60</v>
      </c>
      <c r="D109" s="30">
        <v>1229</v>
      </c>
      <c r="E109" s="30">
        <v>15330</v>
      </c>
      <c r="F109" s="30" t="s">
        <v>571</v>
      </c>
      <c r="G109" s="30" t="s">
        <v>951</v>
      </c>
      <c r="H109" s="30">
        <v>4.0943449999999997</v>
      </c>
      <c r="I109" s="30">
        <v>7.1139559999999999</v>
      </c>
    </row>
    <row r="110" spans="1:9">
      <c r="A110" s="30" t="s">
        <v>571</v>
      </c>
      <c r="B110" s="30" t="s">
        <v>617</v>
      </c>
      <c r="C110" s="30">
        <v>70</v>
      </c>
      <c r="D110" s="30">
        <v>27</v>
      </c>
      <c r="E110" s="30">
        <v>700</v>
      </c>
      <c r="F110" s="30" t="s">
        <v>571</v>
      </c>
      <c r="G110" s="30" t="s">
        <v>951</v>
      </c>
      <c r="H110" s="30">
        <v>4.2484950000000001</v>
      </c>
      <c r="I110" s="30">
        <v>3.2958370000000001</v>
      </c>
    </row>
    <row r="111" spans="1:9">
      <c r="A111" s="30" t="s">
        <v>571</v>
      </c>
      <c r="B111" s="30" t="s">
        <v>618</v>
      </c>
      <c r="C111" s="30">
        <v>70</v>
      </c>
      <c r="D111" s="30">
        <v>1</v>
      </c>
      <c r="E111" s="30">
        <v>70</v>
      </c>
      <c r="F111" s="30" t="s">
        <v>571</v>
      </c>
      <c r="G111" s="30" t="s">
        <v>951</v>
      </c>
      <c r="H111" s="30">
        <v>4.2484950000000001</v>
      </c>
      <c r="I111" s="30">
        <v>0</v>
      </c>
    </row>
    <row r="112" spans="1:9">
      <c r="A112" s="30" t="s">
        <v>571</v>
      </c>
      <c r="B112" s="30" t="s">
        <v>617</v>
      </c>
      <c r="C112" s="30">
        <v>70</v>
      </c>
      <c r="D112" s="30">
        <v>15</v>
      </c>
      <c r="E112" s="30">
        <v>140</v>
      </c>
      <c r="F112" s="30" t="s">
        <v>571</v>
      </c>
      <c r="G112" s="30" t="s">
        <v>951</v>
      </c>
      <c r="H112" s="30">
        <v>4.2484950000000001</v>
      </c>
      <c r="I112" s="30">
        <v>2.7080500000000001</v>
      </c>
    </row>
    <row r="113" spans="1:9">
      <c r="A113" s="30" t="s">
        <v>619</v>
      </c>
      <c r="B113" s="30" t="s">
        <v>620</v>
      </c>
      <c r="C113" s="30">
        <v>1</v>
      </c>
      <c r="D113" s="30">
        <v>1</v>
      </c>
      <c r="E113" s="30">
        <v>1</v>
      </c>
      <c r="F113" s="30" t="s">
        <v>621</v>
      </c>
      <c r="G113" s="30" t="s">
        <v>622</v>
      </c>
      <c r="H113" s="30">
        <v>0</v>
      </c>
      <c r="I113" s="30">
        <v>0</v>
      </c>
    </row>
    <row r="114" spans="1:9">
      <c r="A114" s="30" t="s">
        <v>619</v>
      </c>
      <c r="B114" s="30" t="s">
        <v>623</v>
      </c>
      <c r="C114" s="30">
        <v>1</v>
      </c>
      <c r="D114" s="30">
        <v>67</v>
      </c>
      <c r="E114" s="30">
        <v>67</v>
      </c>
      <c r="F114" s="30" t="s">
        <v>621</v>
      </c>
      <c r="G114" s="30" t="s">
        <v>624</v>
      </c>
      <c r="H114" s="30">
        <v>0</v>
      </c>
      <c r="I114" s="30">
        <v>4.2046929999999998</v>
      </c>
    </row>
    <row r="115" spans="1:9">
      <c r="A115" s="30" t="s">
        <v>619</v>
      </c>
      <c r="B115" s="30" t="s">
        <v>625</v>
      </c>
      <c r="C115" s="30">
        <v>0.25</v>
      </c>
      <c r="D115" s="30">
        <v>165</v>
      </c>
      <c r="E115" s="30">
        <v>41.15</v>
      </c>
      <c r="F115" s="30" t="s">
        <v>626</v>
      </c>
      <c r="G115" s="30" t="s">
        <v>627</v>
      </c>
      <c r="H115" s="30">
        <v>-1.38629</v>
      </c>
      <c r="I115" s="30">
        <v>5.1059450000000002</v>
      </c>
    </row>
    <row r="116" spans="1:9">
      <c r="A116" s="30" t="s">
        <v>619</v>
      </c>
      <c r="B116" s="30" t="s">
        <v>628</v>
      </c>
      <c r="C116" s="30">
        <v>0.5</v>
      </c>
      <c r="D116" s="30">
        <v>104</v>
      </c>
      <c r="E116" s="30">
        <v>50</v>
      </c>
      <c r="F116" s="30" t="s">
        <v>626</v>
      </c>
      <c r="G116" s="30" t="s">
        <v>627</v>
      </c>
      <c r="H116" s="30">
        <v>-0.69315000000000004</v>
      </c>
      <c r="I116" s="30">
        <v>4.6443909999999997</v>
      </c>
    </row>
    <row r="117" spans="1:9">
      <c r="A117" s="30" t="s">
        <v>619</v>
      </c>
      <c r="B117" s="30" t="s">
        <v>629</v>
      </c>
      <c r="C117" s="30">
        <v>0.5</v>
      </c>
      <c r="D117" s="30">
        <v>68</v>
      </c>
      <c r="E117" s="30">
        <v>34</v>
      </c>
      <c r="F117" s="30" t="s">
        <v>626</v>
      </c>
      <c r="G117" s="30" t="s">
        <v>627</v>
      </c>
      <c r="H117" s="30">
        <v>-0.69315000000000004</v>
      </c>
      <c r="I117" s="30">
        <v>4.2195080000000003</v>
      </c>
    </row>
    <row r="118" spans="1:9">
      <c r="A118" s="30" t="s">
        <v>619</v>
      </c>
      <c r="B118" s="30" t="s">
        <v>630</v>
      </c>
      <c r="C118" s="30">
        <v>2</v>
      </c>
      <c r="D118" s="30">
        <v>148</v>
      </c>
      <c r="E118" s="30">
        <v>296</v>
      </c>
      <c r="F118" s="30" t="s">
        <v>621</v>
      </c>
      <c r="G118" s="30" t="s">
        <v>631</v>
      </c>
      <c r="H118" s="30">
        <v>0.69314699999999996</v>
      </c>
      <c r="I118" s="30">
        <v>4.9972120000000002</v>
      </c>
    </row>
    <row r="119" spans="1:9">
      <c r="A119" s="30" t="s">
        <v>619</v>
      </c>
      <c r="B119" s="30" t="s">
        <v>632</v>
      </c>
      <c r="C119" s="30">
        <v>2</v>
      </c>
      <c r="D119" s="30">
        <v>50</v>
      </c>
      <c r="E119" s="30">
        <v>100</v>
      </c>
      <c r="F119" s="30" t="s">
        <v>621</v>
      </c>
      <c r="G119" s="30" t="s">
        <v>631</v>
      </c>
      <c r="H119" s="30">
        <v>0.69314699999999996</v>
      </c>
      <c r="I119" s="30">
        <v>3.912023</v>
      </c>
    </row>
    <row r="120" spans="1:9">
      <c r="A120" s="30" t="s">
        <v>619</v>
      </c>
      <c r="B120" s="30" t="s">
        <v>633</v>
      </c>
      <c r="C120" s="30">
        <v>3</v>
      </c>
      <c r="D120" s="30">
        <v>15</v>
      </c>
      <c r="E120" s="30">
        <v>45</v>
      </c>
      <c r="F120" s="30" t="s">
        <v>621</v>
      </c>
      <c r="G120" s="30" t="s">
        <v>624</v>
      </c>
      <c r="H120" s="30">
        <v>1.0986119999999999</v>
      </c>
      <c r="I120" s="30">
        <v>2.7080500000000001</v>
      </c>
    </row>
    <row r="121" spans="1:9">
      <c r="A121" s="30" t="s">
        <v>619</v>
      </c>
      <c r="B121" s="30" t="s">
        <v>634</v>
      </c>
      <c r="C121" s="30">
        <v>3</v>
      </c>
      <c r="D121" s="30">
        <v>87</v>
      </c>
      <c r="E121" s="30">
        <v>261</v>
      </c>
      <c r="F121" s="30" t="s">
        <v>621</v>
      </c>
      <c r="G121" s="30" t="s">
        <v>624</v>
      </c>
      <c r="H121" s="30">
        <v>1.0986119999999999</v>
      </c>
      <c r="I121" s="30">
        <v>4.4659079999999998</v>
      </c>
    </row>
    <row r="122" spans="1:9">
      <c r="A122" s="30" t="s">
        <v>619</v>
      </c>
      <c r="B122" s="30" t="s">
        <v>635</v>
      </c>
      <c r="C122" s="30">
        <v>1</v>
      </c>
      <c r="D122" s="30">
        <v>55</v>
      </c>
      <c r="E122" s="30">
        <v>55</v>
      </c>
      <c r="F122" s="30" t="s">
        <v>621</v>
      </c>
      <c r="G122" s="30" t="s">
        <v>624</v>
      </c>
      <c r="H122" s="30">
        <v>0</v>
      </c>
      <c r="I122" s="30">
        <v>4.007333</v>
      </c>
    </row>
    <row r="123" spans="1:9">
      <c r="A123" s="30" t="s">
        <v>619</v>
      </c>
      <c r="B123" s="30" t="s">
        <v>636</v>
      </c>
      <c r="C123" s="30">
        <v>0.5</v>
      </c>
      <c r="D123" s="30">
        <v>162</v>
      </c>
      <c r="E123" s="30">
        <v>80.7</v>
      </c>
      <c r="F123" s="30" t="s">
        <v>626</v>
      </c>
      <c r="G123" s="30" t="s">
        <v>627</v>
      </c>
      <c r="H123" s="30">
        <v>-0.69315000000000004</v>
      </c>
      <c r="I123" s="30">
        <v>5.0875959999999996</v>
      </c>
    </row>
    <row r="124" spans="1:9">
      <c r="A124" s="30" t="s">
        <v>619</v>
      </c>
      <c r="B124" s="30" t="s">
        <v>637</v>
      </c>
      <c r="C124" s="30">
        <v>3</v>
      </c>
      <c r="D124" s="30">
        <v>830</v>
      </c>
      <c r="E124" s="30">
        <v>2486.4</v>
      </c>
      <c r="F124" s="30" t="s">
        <v>621</v>
      </c>
      <c r="G124" s="30" t="s">
        <v>638</v>
      </c>
      <c r="H124" s="30">
        <v>1.0986119999999999</v>
      </c>
      <c r="I124" s="30">
        <v>6.7214260000000001</v>
      </c>
    </row>
    <row r="125" spans="1:9">
      <c r="A125" s="30" t="s">
        <v>619</v>
      </c>
      <c r="B125" s="30" t="s">
        <v>639</v>
      </c>
      <c r="C125" s="30">
        <v>1</v>
      </c>
      <c r="D125" s="30">
        <v>4</v>
      </c>
      <c r="E125" s="30">
        <v>4</v>
      </c>
      <c r="F125" s="30" t="s">
        <v>626</v>
      </c>
      <c r="G125" s="30" t="s">
        <v>638</v>
      </c>
      <c r="H125" s="30">
        <v>0</v>
      </c>
      <c r="I125" s="30">
        <v>1.3862939999999999</v>
      </c>
    </row>
    <row r="126" spans="1:9">
      <c r="A126" s="30" t="s">
        <v>619</v>
      </c>
      <c r="B126" s="30" t="s">
        <v>640</v>
      </c>
      <c r="C126" s="30">
        <v>2</v>
      </c>
      <c r="D126" s="30">
        <v>2261</v>
      </c>
      <c r="E126" s="30">
        <v>4506.6000000000004</v>
      </c>
      <c r="F126" s="30" t="s">
        <v>621</v>
      </c>
      <c r="G126" s="30" t="s">
        <v>638</v>
      </c>
      <c r="H126" s="30">
        <v>0.69314699999999996</v>
      </c>
      <c r="I126" s="30">
        <v>7.7235620000000003</v>
      </c>
    </row>
    <row r="127" spans="1:9">
      <c r="A127" s="30" t="s">
        <v>619</v>
      </c>
      <c r="B127" s="30" t="s">
        <v>641</v>
      </c>
      <c r="C127" s="30">
        <v>75</v>
      </c>
      <c r="D127" s="30">
        <v>4</v>
      </c>
      <c r="E127" s="30">
        <v>300</v>
      </c>
      <c r="F127" s="30" t="s">
        <v>626</v>
      </c>
      <c r="G127" s="30" t="s">
        <v>642</v>
      </c>
      <c r="H127" s="30">
        <v>4.317488</v>
      </c>
      <c r="I127" s="30">
        <v>1.3862939999999999</v>
      </c>
    </row>
    <row r="128" spans="1:9">
      <c r="A128" s="30" t="s">
        <v>619</v>
      </c>
      <c r="B128" s="30" t="s">
        <v>643</v>
      </c>
      <c r="C128" s="30">
        <v>3</v>
      </c>
      <c r="D128" s="30">
        <v>3073</v>
      </c>
      <c r="E128" s="30">
        <v>9219</v>
      </c>
      <c r="F128" s="30" t="s">
        <v>621</v>
      </c>
      <c r="G128" s="30" t="s">
        <v>624</v>
      </c>
      <c r="H128" s="30">
        <v>1.0986119999999999</v>
      </c>
      <c r="I128" s="30">
        <v>8.0304099999999998</v>
      </c>
    </row>
    <row r="129" spans="1:9">
      <c r="A129" s="30" t="s">
        <v>619</v>
      </c>
      <c r="B129" s="30" t="s">
        <v>644</v>
      </c>
      <c r="C129" s="30">
        <v>10</v>
      </c>
      <c r="D129" s="30">
        <v>24</v>
      </c>
      <c r="E129" s="30">
        <v>240</v>
      </c>
      <c r="F129" s="30" t="s">
        <v>626</v>
      </c>
      <c r="G129" s="30" t="s">
        <v>642</v>
      </c>
      <c r="H129" s="30">
        <v>2.3025850000000001</v>
      </c>
      <c r="I129" s="30">
        <v>3.1780539999999999</v>
      </c>
    </row>
    <row r="130" spans="1:9">
      <c r="A130" s="30" t="s">
        <v>619</v>
      </c>
      <c r="B130" s="30" t="s">
        <v>645</v>
      </c>
      <c r="C130" s="30">
        <v>10</v>
      </c>
      <c r="D130" s="30">
        <v>5</v>
      </c>
      <c r="E130" s="30">
        <v>50</v>
      </c>
      <c r="F130" s="30" t="s">
        <v>626</v>
      </c>
      <c r="G130" s="30" t="s">
        <v>642</v>
      </c>
      <c r="H130" s="30">
        <v>2.3025850000000001</v>
      </c>
      <c r="I130" s="30">
        <v>1.6094379999999999</v>
      </c>
    </row>
    <row r="131" spans="1:9">
      <c r="A131" s="30" t="s">
        <v>619</v>
      </c>
      <c r="B131" s="30" t="s">
        <v>646</v>
      </c>
      <c r="C131" s="30">
        <v>5</v>
      </c>
      <c r="D131" s="30">
        <v>113</v>
      </c>
      <c r="E131" s="30">
        <v>565</v>
      </c>
      <c r="F131" s="30" t="s">
        <v>621</v>
      </c>
      <c r="G131" s="30" t="s">
        <v>642</v>
      </c>
      <c r="H131" s="30">
        <v>1.6094379999999999</v>
      </c>
      <c r="I131" s="30">
        <v>4.7273880000000004</v>
      </c>
    </row>
    <row r="132" spans="1:9">
      <c r="A132" s="30" t="s">
        <v>619</v>
      </c>
      <c r="B132" s="30" t="s">
        <v>647</v>
      </c>
      <c r="C132" s="30">
        <v>12</v>
      </c>
      <c r="D132" s="30">
        <v>67</v>
      </c>
      <c r="E132" s="30">
        <v>804</v>
      </c>
      <c r="F132" s="30" t="s">
        <v>621</v>
      </c>
      <c r="G132" s="30" t="s">
        <v>648</v>
      </c>
      <c r="H132" s="30">
        <v>2.4849070000000002</v>
      </c>
      <c r="I132" s="30">
        <v>4.2046929999999998</v>
      </c>
    </row>
    <row r="133" spans="1:9">
      <c r="A133" s="30" t="s">
        <v>619</v>
      </c>
      <c r="B133" s="30" t="s">
        <v>649</v>
      </c>
      <c r="C133" s="30">
        <v>2</v>
      </c>
      <c r="D133" s="30">
        <v>2480</v>
      </c>
      <c r="E133" s="30">
        <v>4960</v>
      </c>
      <c r="F133" s="30" t="s">
        <v>621</v>
      </c>
      <c r="G133" s="30" t="s">
        <v>650</v>
      </c>
      <c r="H133" s="30">
        <v>0.69314699999999996</v>
      </c>
      <c r="I133" s="30">
        <v>7.816014</v>
      </c>
    </row>
    <row r="134" spans="1:9">
      <c r="A134" s="30" t="s">
        <v>619</v>
      </c>
      <c r="B134" s="30" t="s">
        <v>651</v>
      </c>
      <c r="C134" s="30">
        <v>2</v>
      </c>
      <c r="D134" s="30">
        <v>85</v>
      </c>
      <c r="E134" s="30">
        <v>170</v>
      </c>
      <c r="F134" s="30" t="s">
        <v>621</v>
      </c>
      <c r="G134" s="30" t="s">
        <v>648</v>
      </c>
      <c r="H134" s="30">
        <v>0.69314699999999996</v>
      </c>
      <c r="I134" s="30">
        <v>4.4426509999999997</v>
      </c>
    </row>
    <row r="135" spans="1:9">
      <c r="A135" s="30" t="s">
        <v>619</v>
      </c>
      <c r="B135" s="30" t="s">
        <v>652</v>
      </c>
      <c r="C135" s="30">
        <v>3</v>
      </c>
      <c r="D135" s="30">
        <v>1375</v>
      </c>
      <c r="E135" s="30">
        <v>4124.55</v>
      </c>
      <c r="F135" s="30" t="s">
        <v>621</v>
      </c>
      <c r="G135" s="30" t="s">
        <v>638</v>
      </c>
      <c r="H135" s="30">
        <v>1.0986119999999999</v>
      </c>
      <c r="I135" s="30">
        <v>7.2262089999999999</v>
      </c>
    </row>
    <row r="136" spans="1:9">
      <c r="A136" s="30" t="s">
        <v>619</v>
      </c>
      <c r="B136" s="30" t="s">
        <v>653</v>
      </c>
      <c r="C136" s="30">
        <v>2</v>
      </c>
      <c r="D136" s="30">
        <v>1041</v>
      </c>
      <c r="E136" s="30">
        <v>2069.3000000000002</v>
      </c>
      <c r="F136" s="30" t="s">
        <v>621</v>
      </c>
      <c r="G136" s="30" t="s">
        <v>638</v>
      </c>
      <c r="H136" s="30">
        <v>0.69314699999999996</v>
      </c>
      <c r="I136" s="30">
        <v>6.9479369999999996</v>
      </c>
    </row>
    <row r="137" spans="1:9">
      <c r="A137" s="30" t="s">
        <v>619</v>
      </c>
      <c r="B137" s="30" t="s">
        <v>654</v>
      </c>
      <c r="C137" s="30">
        <v>3</v>
      </c>
      <c r="D137" s="30">
        <v>9</v>
      </c>
      <c r="E137" s="30">
        <v>27</v>
      </c>
      <c r="F137" s="30" t="s">
        <v>621</v>
      </c>
      <c r="G137" s="30" t="s">
        <v>624</v>
      </c>
      <c r="H137" s="30">
        <v>1.0986119999999999</v>
      </c>
      <c r="I137" s="30">
        <v>2.197225</v>
      </c>
    </row>
    <row r="138" spans="1:9">
      <c r="A138" s="30" t="s">
        <v>619</v>
      </c>
      <c r="B138" s="30" t="s">
        <v>655</v>
      </c>
      <c r="C138" s="30">
        <v>0.5</v>
      </c>
      <c r="D138" s="30">
        <v>737</v>
      </c>
      <c r="E138" s="30">
        <v>350.2</v>
      </c>
      <c r="F138" s="30" t="s">
        <v>626</v>
      </c>
      <c r="G138" s="30" t="s">
        <v>627</v>
      </c>
      <c r="H138" s="30">
        <v>-0.69315000000000004</v>
      </c>
      <c r="I138" s="30">
        <v>6.6025879999999999</v>
      </c>
    </row>
    <row r="139" spans="1:9">
      <c r="A139" s="30" t="s">
        <v>619</v>
      </c>
      <c r="B139" s="30" t="s">
        <v>656</v>
      </c>
      <c r="C139" s="30">
        <v>0.5</v>
      </c>
      <c r="D139" s="30">
        <v>26</v>
      </c>
      <c r="E139" s="30">
        <v>13</v>
      </c>
      <c r="F139" s="30" t="s">
        <v>626</v>
      </c>
      <c r="G139" s="30" t="s">
        <v>627</v>
      </c>
      <c r="H139" s="30">
        <v>-0.69315000000000004</v>
      </c>
      <c r="I139" s="30">
        <v>3.2580969999999998</v>
      </c>
    </row>
    <row r="140" spans="1:9">
      <c r="A140" s="30" t="s">
        <v>619</v>
      </c>
      <c r="B140" s="30" t="s">
        <v>657</v>
      </c>
      <c r="C140" s="30">
        <v>0.5</v>
      </c>
      <c r="D140" s="30">
        <v>153</v>
      </c>
      <c r="E140" s="30">
        <v>76.5</v>
      </c>
      <c r="F140" s="30" t="s">
        <v>626</v>
      </c>
      <c r="G140" s="30" t="s">
        <v>627</v>
      </c>
      <c r="H140" s="30">
        <v>-0.69315000000000004</v>
      </c>
      <c r="I140" s="30">
        <v>5.0304380000000002</v>
      </c>
    </row>
    <row r="141" spans="1:9">
      <c r="A141" s="30" t="s">
        <v>619</v>
      </c>
      <c r="B141" s="30" t="s">
        <v>658</v>
      </c>
      <c r="C141" s="30">
        <v>0.5</v>
      </c>
      <c r="D141" s="30">
        <v>201</v>
      </c>
      <c r="E141" s="30">
        <v>100.5</v>
      </c>
      <c r="F141" s="30" t="s">
        <v>626</v>
      </c>
      <c r="G141" s="30" t="s">
        <v>627</v>
      </c>
      <c r="H141" s="30">
        <v>-0.69315000000000004</v>
      </c>
      <c r="I141" s="30">
        <v>5.3033049999999999</v>
      </c>
    </row>
    <row r="142" spans="1:9">
      <c r="A142" s="30" t="s">
        <v>619</v>
      </c>
      <c r="B142" s="30" t="s">
        <v>659</v>
      </c>
      <c r="C142" s="30">
        <v>3</v>
      </c>
      <c r="D142" s="30">
        <v>2293</v>
      </c>
      <c r="E142" s="30">
        <v>6876.3</v>
      </c>
      <c r="F142" s="30" t="s">
        <v>621</v>
      </c>
      <c r="G142" s="30" t="s">
        <v>638</v>
      </c>
      <c r="H142" s="30">
        <v>1.0986119999999999</v>
      </c>
      <c r="I142" s="30">
        <v>7.737616</v>
      </c>
    </row>
    <row r="143" spans="1:9">
      <c r="A143" s="30" t="s">
        <v>619</v>
      </c>
      <c r="B143" s="30" t="s">
        <v>660</v>
      </c>
      <c r="C143" s="30">
        <v>2</v>
      </c>
      <c r="D143" s="30">
        <v>3418</v>
      </c>
      <c r="E143" s="30">
        <v>6828.4</v>
      </c>
      <c r="F143" s="30" t="s">
        <v>621</v>
      </c>
      <c r="G143" s="30" t="s">
        <v>638</v>
      </c>
      <c r="H143" s="30">
        <v>0.69314699999999996</v>
      </c>
      <c r="I143" s="30">
        <v>8.1368109999999998</v>
      </c>
    </row>
    <row r="144" spans="1:9">
      <c r="A144" s="30" t="s">
        <v>619</v>
      </c>
      <c r="B144" s="30" t="s">
        <v>661</v>
      </c>
      <c r="C144" s="30">
        <v>3</v>
      </c>
      <c r="D144" s="30">
        <v>572</v>
      </c>
      <c r="E144" s="30">
        <v>1716</v>
      </c>
      <c r="F144" s="30" t="s">
        <v>621</v>
      </c>
      <c r="G144" s="30" t="s">
        <v>624</v>
      </c>
      <c r="H144" s="30">
        <v>1.0986119999999999</v>
      </c>
      <c r="I144" s="30">
        <v>6.3491390000000001</v>
      </c>
    </row>
    <row r="145" spans="1:9">
      <c r="A145" s="30" t="s">
        <v>619</v>
      </c>
      <c r="B145" s="30" t="s">
        <v>662</v>
      </c>
      <c r="C145" s="30">
        <v>4</v>
      </c>
      <c r="D145" s="30">
        <v>330</v>
      </c>
      <c r="E145" s="30">
        <v>1320</v>
      </c>
      <c r="F145" s="30" t="s">
        <v>626</v>
      </c>
      <c r="G145" s="30" t="s">
        <v>663</v>
      </c>
      <c r="H145" s="30">
        <v>1.3862939999999999</v>
      </c>
      <c r="I145" s="30">
        <v>5.7990930000000001</v>
      </c>
    </row>
    <row r="146" spans="1:9">
      <c r="A146" s="30" t="s">
        <v>619</v>
      </c>
      <c r="B146" s="30" t="s">
        <v>664</v>
      </c>
      <c r="C146" s="30">
        <v>2</v>
      </c>
      <c r="D146" s="30">
        <v>34</v>
      </c>
      <c r="E146" s="30">
        <v>68</v>
      </c>
      <c r="F146" s="30" t="s">
        <v>626</v>
      </c>
      <c r="G146" s="30" t="s">
        <v>663</v>
      </c>
      <c r="H146" s="30">
        <v>0.69314699999999996</v>
      </c>
      <c r="I146" s="30">
        <v>3.5263610000000001</v>
      </c>
    </row>
    <row r="147" spans="1:9">
      <c r="A147" s="30" t="s">
        <v>619</v>
      </c>
      <c r="B147" s="30" t="s">
        <v>665</v>
      </c>
      <c r="C147" s="30">
        <v>3</v>
      </c>
      <c r="D147" s="30">
        <v>198</v>
      </c>
      <c r="E147" s="30">
        <v>594</v>
      </c>
      <c r="F147" s="30" t="s">
        <v>626</v>
      </c>
      <c r="G147" s="30" t="s">
        <v>663</v>
      </c>
      <c r="H147" s="30">
        <v>1.0986119999999999</v>
      </c>
      <c r="I147" s="30">
        <v>5.2882670000000003</v>
      </c>
    </row>
    <row r="148" spans="1:9">
      <c r="A148" s="30" t="s">
        <v>619</v>
      </c>
      <c r="B148" s="30" t="s">
        <v>666</v>
      </c>
      <c r="C148" s="30">
        <v>3</v>
      </c>
      <c r="D148" s="30">
        <v>300</v>
      </c>
      <c r="E148" s="30">
        <v>816</v>
      </c>
      <c r="F148" s="30" t="s">
        <v>626</v>
      </c>
      <c r="G148" s="30" t="s">
        <v>663</v>
      </c>
      <c r="H148" s="30">
        <v>1.0986119999999999</v>
      </c>
      <c r="I148" s="30">
        <v>5.7037820000000004</v>
      </c>
    </row>
    <row r="149" spans="1:9">
      <c r="A149" s="30" t="s">
        <v>619</v>
      </c>
      <c r="B149" s="30" t="s">
        <v>667</v>
      </c>
      <c r="C149" s="30">
        <v>0.5</v>
      </c>
      <c r="D149" s="30">
        <v>34</v>
      </c>
      <c r="E149" s="30">
        <v>17</v>
      </c>
      <c r="F149" s="30" t="s">
        <v>626</v>
      </c>
      <c r="G149" s="30" t="s">
        <v>663</v>
      </c>
      <c r="H149" s="30">
        <v>-0.69315000000000004</v>
      </c>
      <c r="I149" s="30">
        <v>3.5263610000000001</v>
      </c>
    </row>
    <row r="150" spans="1:9">
      <c r="A150" s="30" t="s">
        <v>619</v>
      </c>
      <c r="B150" s="30" t="s">
        <v>668</v>
      </c>
      <c r="C150" s="30">
        <v>1.5</v>
      </c>
      <c r="D150" s="30">
        <v>278</v>
      </c>
      <c r="E150" s="30">
        <v>317.7</v>
      </c>
      <c r="F150" s="30" t="s">
        <v>626</v>
      </c>
      <c r="G150" s="30" t="s">
        <v>663</v>
      </c>
      <c r="H150" s="30">
        <v>0.40546500000000002</v>
      </c>
      <c r="I150" s="30">
        <v>5.6276210000000004</v>
      </c>
    </row>
    <row r="151" spans="1:9">
      <c r="A151" s="30" t="s">
        <v>619</v>
      </c>
      <c r="B151" s="30" t="s">
        <v>669</v>
      </c>
      <c r="C151" s="30">
        <v>3</v>
      </c>
      <c r="D151" s="30">
        <v>100</v>
      </c>
      <c r="E151" s="30">
        <v>295.2</v>
      </c>
      <c r="F151" s="30" t="s">
        <v>626</v>
      </c>
      <c r="G151" s="30" t="s">
        <v>663</v>
      </c>
      <c r="H151" s="30">
        <v>1.0986119999999999</v>
      </c>
      <c r="I151" s="30">
        <v>4.6051700000000002</v>
      </c>
    </row>
    <row r="152" spans="1:9">
      <c r="A152" s="30" t="s">
        <v>619</v>
      </c>
      <c r="B152" s="30" t="s">
        <v>670</v>
      </c>
      <c r="C152" s="30">
        <v>4</v>
      </c>
      <c r="D152" s="30">
        <v>1</v>
      </c>
      <c r="E152" s="30">
        <v>4</v>
      </c>
      <c r="F152" s="30" t="s">
        <v>626</v>
      </c>
      <c r="G152" s="30" t="s">
        <v>663</v>
      </c>
      <c r="H152" s="30">
        <v>1.3862939999999999</v>
      </c>
      <c r="I152" s="30">
        <v>0</v>
      </c>
    </row>
    <row r="153" spans="1:9">
      <c r="A153" s="30" t="s">
        <v>619</v>
      </c>
      <c r="B153" s="30" t="s">
        <v>671</v>
      </c>
      <c r="C153" s="30">
        <v>3</v>
      </c>
      <c r="D153" s="30">
        <v>77</v>
      </c>
      <c r="E153" s="30">
        <v>216</v>
      </c>
      <c r="F153" s="30" t="s">
        <v>626</v>
      </c>
      <c r="G153" s="30" t="s">
        <v>663</v>
      </c>
      <c r="H153" s="30">
        <v>1.0986119999999999</v>
      </c>
      <c r="I153" s="30">
        <v>4.3438049999999997</v>
      </c>
    </row>
    <row r="154" spans="1:9">
      <c r="A154" s="30" t="s">
        <v>619</v>
      </c>
      <c r="B154" s="30" t="s">
        <v>672</v>
      </c>
      <c r="C154" s="30">
        <v>3</v>
      </c>
      <c r="D154" s="30">
        <v>263</v>
      </c>
      <c r="E154" s="30">
        <v>739.2</v>
      </c>
      <c r="F154" s="30" t="s">
        <v>626</v>
      </c>
      <c r="G154" s="30" t="s">
        <v>663</v>
      </c>
      <c r="H154" s="30">
        <v>1.0986119999999999</v>
      </c>
      <c r="I154" s="30">
        <v>5.5721540000000003</v>
      </c>
    </row>
    <row r="155" spans="1:9">
      <c r="A155" s="30" t="s">
        <v>619</v>
      </c>
      <c r="B155" s="30" t="s">
        <v>673</v>
      </c>
      <c r="C155" s="30">
        <v>3</v>
      </c>
      <c r="D155" s="30">
        <v>77</v>
      </c>
      <c r="E155" s="30">
        <v>170.4</v>
      </c>
      <c r="F155" s="30" t="s">
        <v>626</v>
      </c>
      <c r="G155" s="30" t="s">
        <v>663</v>
      </c>
      <c r="H155" s="30">
        <v>1.0986119999999999</v>
      </c>
      <c r="I155" s="30">
        <v>4.3438049999999997</v>
      </c>
    </row>
    <row r="156" spans="1:9">
      <c r="A156" s="30" t="s">
        <v>619</v>
      </c>
      <c r="B156" s="30" t="s">
        <v>674</v>
      </c>
      <c r="C156" s="30">
        <v>3</v>
      </c>
      <c r="D156" s="30">
        <v>81</v>
      </c>
      <c r="E156" s="30">
        <v>171</v>
      </c>
      <c r="F156" s="30" t="s">
        <v>626</v>
      </c>
      <c r="G156" s="30" t="s">
        <v>663</v>
      </c>
      <c r="H156" s="30">
        <v>1.0986119999999999</v>
      </c>
      <c r="I156" s="30">
        <v>4.3944489999999998</v>
      </c>
    </row>
    <row r="157" spans="1:9">
      <c r="A157" s="30" t="s">
        <v>619</v>
      </c>
      <c r="B157" s="30" t="s">
        <v>675</v>
      </c>
      <c r="C157" s="30">
        <v>3</v>
      </c>
      <c r="D157" s="30">
        <v>91</v>
      </c>
      <c r="E157" s="30">
        <v>225</v>
      </c>
      <c r="F157" s="30" t="s">
        <v>626</v>
      </c>
      <c r="G157" s="30" t="s">
        <v>663</v>
      </c>
      <c r="H157" s="30">
        <v>1.0986119999999999</v>
      </c>
      <c r="I157" s="30">
        <v>4.5108600000000001</v>
      </c>
    </row>
    <row r="158" spans="1:9">
      <c r="A158" s="30" t="s">
        <v>619</v>
      </c>
      <c r="B158" s="30" t="s">
        <v>676</v>
      </c>
      <c r="C158" s="30">
        <v>4</v>
      </c>
      <c r="D158" s="30">
        <v>972</v>
      </c>
      <c r="E158" s="30">
        <v>2862.4</v>
      </c>
      <c r="F158" s="30" t="s">
        <v>626</v>
      </c>
      <c r="G158" s="30" t="s">
        <v>663</v>
      </c>
      <c r="H158" s="30">
        <v>1.3862939999999999</v>
      </c>
      <c r="I158" s="30">
        <v>6.8793559999999996</v>
      </c>
    </row>
    <row r="159" spans="1:9">
      <c r="A159" s="30" t="s">
        <v>619</v>
      </c>
      <c r="B159" s="30" t="s">
        <v>677</v>
      </c>
      <c r="C159" s="30">
        <v>2</v>
      </c>
      <c r="D159" s="30">
        <v>212</v>
      </c>
      <c r="E159" s="30">
        <v>168</v>
      </c>
      <c r="F159" s="30" t="s">
        <v>626</v>
      </c>
      <c r="G159" s="30" t="s">
        <v>663</v>
      </c>
      <c r="H159" s="30">
        <v>0.69314699999999996</v>
      </c>
      <c r="I159" s="30">
        <v>5.3565860000000001</v>
      </c>
    </row>
    <row r="160" spans="1:9">
      <c r="A160" s="30" t="s">
        <v>619</v>
      </c>
      <c r="B160" s="30" t="s">
        <v>678</v>
      </c>
      <c r="C160" s="30">
        <v>4</v>
      </c>
      <c r="D160" s="30">
        <v>210</v>
      </c>
      <c r="E160" s="30">
        <v>749.6</v>
      </c>
      <c r="F160" s="30" t="s">
        <v>626</v>
      </c>
      <c r="G160" s="30" t="s">
        <v>663</v>
      </c>
      <c r="H160" s="30">
        <v>1.3862939999999999</v>
      </c>
      <c r="I160" s="30">
        <v>5.3471080000000004</v>
      </c>
    </row>
    <row r="161" spans="1:9">
      <c r="A161" s="30" t="s">
        <v>619</v>
      </c>
      <c r="B161" s="30" t="s">
        <v>679</v>
      </c>
      <c r="C161" s="30">
        <v>2</v>
      </c>
      <c r="D161" s="30">
        <v>246</v>
      </c>
      <c r="E161" s="30">
        <v>269.60000000000002</v>
      </c>
      <c r="F161" s="30" t="s">
        <v>626</v>
      </c>
      <c r="G161" s="30" t="s">
        <v>663</v>
      </c>
      <c r="H161" s="30">
        <v>0.69314699999999996</v>
      </c>
      <c r="I161" s="30">
        <v>5.5053320000000001</v>
      </c>
    </row>
    <row r="162" spans="1:9">
      <c r="A162" s="30" t="s">
        <v>619</v>
      </c>
      <c r="B162" s="30" t="s">
        <v>680</v>
      </c>
      <c r="C162" s="30">
        <v>4</v>
      </c>
      <c r="D162" s="30">
        <v>701</v>
      </c>
      <c r="E162" s="30">
        <v>1884</v>
      </c>
      <c r="F162" s="30" t="s">
        <v>626</v>
      </c>
      <c r="G162" s="30" t="s">
        <v>663</v>
      </c>
      <c r="H162" s="30">
        <v>1.3862939999999999</v>
      </c>
      <c r="I162" s="30">
        <v>6.5525080000000004</v>
      </c>
    </row>
    <row r="163" spans="1:9">
      <c r="A163" s="30" t="s">
        <v>619</v>
      </c>
      <c r="B163" s="30" t="s">
        <v>681</v>
      </c>
      <c r="C163" s="30">
        <v>2</v>
      </c>
      <c r="D163" s="30">
        <v>200</v>
      </c>
      <c r="E163" s="30">
        <v>148</v>
      </c>
      <c r="F163" s="30" t="s">
        <v>626</v>
      </c>
      <c r="G163" s="30" t="s">
        <v>663</v>
      </c>
      <c r="H163" s="30">
        <v>0.69314699999999996</v>
      </c>
      <c r="I163" s="30">
        <v>5.2983169999999999</v>
      </c>
    </row>
    <row r="164" spans="1:9">
      <c r="A164" s="30" t="s">
        <v>619</v>
      </c>
      <c r="B164" s="30" t="s">
        <v>682</v>
      </c>
      <c r="C164" s="30">
        <v>2</v>
      </c>
      <c r="D164" s="30">
        <v>247</v>
      </c>
      <c r="E164" s="30">
        <v>333.2</v>
      </c>
      <c r="F164" s="30" t="s">
        <v>626</v>
      </c>
      <c r="G164" s="30" t="s">
        <v>663</v>
      </c>
      <c r="H164" s="30">
        <v>0.69314699999999996</v>
      </c>
      <c r="I164" s="30">
        <v>5.5093880000000004</v>
      </c>
    </row>
    <row r="165" spans="1:9">
      <c r="A165" s="30" t="s">
        <v>619</v>
      </c>
      <c r="B165" s="30" t="s">
        <v>683</v>
      </c>
      <c r="C165" s="30">
        <v>3</v>
      </c>
      <c r="D165" s="30">
        <v>289</v>
      </c>
      <c r="E165" s="30">
        <v>863.4</v>
      </c>
      <c r="F165" s="30" t="s">
        <v>626</v>
      </c>
      <c r="G165" s="30" t="s">
        <v>663</v>
      </c>
      <c r="H165" s="30">
        <v>1.0986119999999999</v>
      </c>
      <c r="I165" s="30">
        <v>5.6664269999999997</v>
      </c>
    </row>
    <row r="166" spans="1:9">
      <c r="A166" s="30" t="s">
        <v>619</v>
      </c>
      <c r="B166" s="30" t="s">
        <v>684</v>
      </c>
      <c r="C166" s="30">
        <v>2</v>
      </c>
      <c r="D166" s="30">
        <v>284</v>
      </c>
      <c r="E166" s="30">
        <v>242</v>
      </c>
      <c r="F166" s="30" t="s">
        <v>626</v>
      </c>
      <c r="G166" s="30" t="s">
        <v>663</v>
      </c>
      <c r="H166" s="30">
        <v>0.69314699999999996</v>
      </c>
      <c r="I166" s="30">
        <v>5.6489739999999999</v>
      </c>
    </row>
    <row r="167" spans="1:9">
      <c r="A167" s="30" t="s">
        <v>619</v>
      </c>
      <c r="B167" s="30" t="s">
        <v>685</v>
      </c>
      <c r="C167" s="30">
        <v>2</v>
      </c>
      <c r="D167" s="30">
        <v>172</v>
      </c>
      <c r="E167" s="30">
        <v>143.6</v>
      </c>
      <c r="F167" s="30" t="s">
        <v>626</v>
      </c>
      <c r="G167" s="30" t="s">
        <v>663</v>
      </c>
      <c r="H167" s="30">
        <v>0.69314699999999996</v>
      </c>
      <c r="I167" s="30">
        <v>5.147494</v>
      </c>
    </row>
    <row r="168" spans="1:9">
      <c r="A168" s="30" t="s">
        <v>619</v>
      </c>
      <c r="B168" s="30" t="s">
        <v>686</v>
      </c>
      <c r="C168" s="30">
        <v>25</v>
      </c>
      <c r="D168" s="30">
        <v>9</v>
      </c>
      <c r="E168" s="30">
        <v>152</v>
      </c>
      <c r="F168" s="30" t="s">
        <v>626</v>
      </c>
      <c r="G168" s="30" t="s">
        <v>687</v>
      </c>
      <c r="H168" s="30">
        <v>3.2188759999999998</v>
      </c>
      <c r="I168" s="30">
        <v>2.197225</v>
      </c>
    </row>
    <row r="169" spans="1:9">
      <c r="A169" s="30" t="s">
        <v>619</v>
      </c>
      <c r="B169" s="30" t="s">
        <v>688</v>
      </c>
      <c r="C169" s="30">
        <v>1</v>
      </c>
      <c r="D169" s="30">
        <v>11</v>
      </c>
      <c r="E169" s="30">
        <v>11</v>
      </c>
      <c r="F169" s="30" t="s">
        <v>621</v>
      </c>
      <c r="G169" s="30" t="s">
        <v>624</v>
      </c>
      <c r="H169" s="30">
        <v>0</v>
      </c>
      <c r="I169" s="30">
        <v>2.3978950000000001</v>
      </c>
    </row>
    <row r="170" spans="1:9">
      <c r="A170" s="30" t="s">
        <v>619</v>
      </c>
      <c r="B170" s="30" t="s">
        <v>689</v>
      </c>
      <c r="C170" s="30">
        <v>3</v>
      </c>
      <c r="D170" s="30">
        <v>2768</v>
      </c>
      <c r="E170" s="30">
        <v>8304</v>
      </c>
      <c r="F170" s="30" t="s">
        <v>621</v>
      </c>
      <c r="G170" s="30" t="s">
        <v>624</v>
      </c>
      <c r="H170" s="30">
        <v>1.0986119999999999</v>
      </c>
      <c r="I170" s="30">
        <v>7.9258800000000003</v>
      </c>
    </row>
    <row r="171" spans="1:9">
      <c r="A171" s="30" t="s">
        <v>619</v>
      </c>
      <c r="B171" s="30" t="s">
        <v>690</v>
      </c>
      <c r="C171" s="30">
        <v>0.5</v>
      </c>
      <c r="D171" s="30">
        <v>444</v>
      </c>
      <c r="E171" s="30">
        <v>222</v>
      </c>
      <c r="F171" s="30" t="s">
        <v>626</v>
      </c>
      <c r="G171" s="30" t="s">
        <v>627</v>
      </c>
      <c r="H171" s="30">
        <v>-0.69315000000000004</v>
      </c>
      <c r="I171" s="30">
        <v>6.0958249999999996</v>
      </c>
    </row>
    <row r="172" spans="1:9">
      <c r="A172" s="30" t="s">
        <v>619</v>
      </c>
      <c r="B172" s="30" t="s">
        <v>691</v>
      </c>
      <c r="C172" s="30">
        <v>1</v>
      </c>
      <c r="D172" s="30">
        <v>16</v>
      </c>
      <c r="E172" s="30">
        <v>16</v>
      </c>
      <c r="F172" s="30" t="s">
        <v>626</v>
      </c>
      <c r="G172" s="30" t="s">
        <v>627</v>
      </c>
      <c r="H172" s="30">
        <v>0</v>
      </c>
      <c r="I172" s="30">
        <v>2.772589</v>
      </c>
    </row>
    <row r="173" spans="1:9">
      <c r="A173" s="30" t="s">
        <v>619</v>
      </c>
      <c r="B173" s="30" t="s">
        <v>692</v>
      </c>
      <c r="C173" s="30">
        <v>1</v>
      </c>
      <c r="D173" s="30">
        <v>336</v>
      </c>
      <c r="E173" s="30">
        <v>335</v>
      </c>
      <c r="F173" s="30" t="s">
        <v>626</v>
      </c>
      <c r="G173" s="30" t="s">
        <v>627</v>
      </c>
      <c r="H173" s="30">
        <v>0</v>
      </c>
      <c r="I173" s="30">
        <v>5.8171109999999997</v>
      </c>
    </row>
    <row r="174" spans="1:9">
      <c r="A174" s="30" t="s">
        <v>619</v>
      </c>
      <c r="B174" s="30" t="s">
        <v>693</v>
      </c>
      <c r="C174" s="30">
        <v>1</v>
      </c>
      <c r="D174" s="30">
        <v>10</v>
      </c>
      <c r="E174" s="30">
        <v>9.5500000000000007</v>
      </c>
      <c r="F174" s="30" t="s">
        <v>621</v>
      </c>
      <c r="G174" s="30" t="s">
        <v>631</v>
      </c>
      <c r="H174" s="30">
        <v>0</v>
      </c>
      <c r="I174" s="30">
        <v>2.3025850000000001</v>
      </c>
    </row>
    <row r="175" spans="1:9">
      <c r="A175" s="30" t="s">
        <v>619</v>
      </c>
      <c r="B175" s="30" t="s">
        <v>694</v>
      </c>
      <c r="C175" s="30">
        <v>1</v>
      </c>
      <c r="D175" s="30">
        <v>2953</v>
      </c>
      <c r="E175" s="30">
        <v>2741.65</v>
      </c>
      <c r="F175" s="30" t="s">
        <v>621</v>
      </c>
      <c r="G175" s="30" t="s">
        <v>624</v>
      </c>
      <c r="H175" s="30">
        <v>0</v>
      </c>
      <c r="I175" s="30">
        <v>7.990577</v>
      </c>
    </row>
    <row r="176" spans="1:9">
      <c r="A176" s="30" t="s">
        <v>619</v>
      </c>
      <c r="B176" s="30" t="s">
        <v>695</v>
      </c>
      <c r="C176" s="30">
        <v>3</v>
      </c>
      <c r="D176" s="30">
        <v>140</v>
      </c>
      <c r="E176" s="30">
        <v>420</v>
      </c>
      <c r="F176" s="30" t="s">
        <v>621</v>
      </c>
      <c r="G176" s="30" t="s">
        <v>624</v>
      </c>
      <c r="H176" s="30">
        <v>1.0986119999999999</v>
      </c>
      <c r="I176" s="30">
        <v>4.9416419999999999</v>
      </c>
    </row>
    <row r="177" spans="1:9">
      <c r="A177" s="30" t="s">
        <v>619</v>
      </c>
      <c r="B177" s="30" t="s">
        <v>696</v>
      </c>
      <c r="C177" s="30">
        <v>1</v>
      </c>
      <c r="D177" s="30">
        <v>11</v>
      </c>
      <c r="E177" s="30">
        <v>11</v>
      </c>
      <c r="F177" s="30" t="s">
        <v>626</v>
      </c>
      <c r="G177" s="30" t="s">
        <v>627</v>
      </c>
      <c r="H177" s="30">
        <v>0</v>
      </c>
      <c r="I177" s="30">
        <v>2.3978950000000001</v>
      </c>
    </row>
    <row r="178" spans="1:9">
      <c r="A178" s="30" t="s">
        <v>619</v>
      </c>
      <c r="B178" s="30" t="s">
        <v>697</v>
      </c>
      <c r="C178" s="30">
        <v>3</v>
      </c>
      <c r="D178" s="30">
        <v>140</v>
      </c>
      <c r="E178" s="30">
        <v>420</v>
      </c>
      <c r="F178" s="30" t="s">
        <v>621</v>
      </c>
      <c r="G178" s="30" t="s">
        <v>698</v>
      </c>
      <c r="H178" s="30">
        <v>1.0986119999999999</v>
      </c>
      <c r="I178" s="30">
        <v>4.9416419999999999</v>
      </c>
    </row>
    <row r="179" spans="1:9">
      <c r="A179" s="30" t="s">
        <v>619</v>
      </c>
      <c r="B179" s="30" t="s">
        <v>699</v>
      </c>
      <c r="C179" s="30">
        <v>3</v>
      </c>
      <c r="D179" s="30">
        <v>2122</v>
      </c>
      <c r="E179" s="30">
        <v>6364.2</v>
      </c>
      <c r="F179" s="30" t="s">
        <v>621</v>
      </c>
      <c r="G179" s="30" t="s">
        <v>638</v>
      </c>
      <c r="H179" s="30">
        <v>1.0986119999999999</v>
      </c>
      <c r="I179" s="30">
        <v>7.6601140000000001</v>
      </c>
    </row>
    <row r="180" spans="1:9">
      <c r="A180" s="30" t="s">
        <v>619</v>
      </c>
      <c r="B180" s="30" t="s">
        <v>700</v>
      </c>
      <c r="C180" s="30">
        <v>1</v>
      </c>
      <c r="D180" s="30">
        <v>1</v>
      </c>
      <c r="E180" s="30">
        <v>1</v>
      </c>
      <c r="F180" s="30" t="s">
        <v>626</v>
      </c>
      <c r="G180" s="30" t="s">
        <v>638</v>
      </c>
      <c r="H180" s="30">
        <v>0</v>
      </c>
      <c r="I180" s="30">
        <v>0</v>
      </c>
    </row>
    <row r="181" spans="1:9">
      <c r="A181" s="30" t="s">
        <v>619</v>
      </c>
      <c r="B181" s="30" t="s">
        <v>701</v>
      </c>
      <c r="C181" s="30">
        <v>2</v>
      </c>
      <c r="D181" s="30">
        <v>4520</v>
      </c>
      <c r="E181" s="30">
        <v>9039</v>
      </c>
      <c r="F181" s="30" t="s">
        <v>621</v>
      </c>
      <c r="G181" s="30" t="s">
        <v>638</v>
      </c>
      <c r="H181" s="30">
        <v>0.69314699999999996</v>
      </c>
      <c r="I181" s="30">
        <v>8.4162669999999995</v>
      </c>
    </row>
    <row r="182" spans="1:9">
      <c r="A182" s="30" t="s">
        <v>619</v>
      </c>
      <c r="B182" s="30" t="s">
        <v>702</v>
      </c>
      <c r="C182" s="30">
        <v>8</v>
      </c>
      <c r="D182" s="30">
        <v>3</v>
      </c>
      <c r="E182" s="30">
        <v>24</v>
      </c>
      <c r="F182" s="30" t="s">
        <v>621</v>
      </c>
      <c r="G182" s="30" t="s">
        <v>648</v>
      </c>
      <c r="H182" s="30">
        <v>2.0794419999999998</v>
      </c>
      <c r="I182" s="30">
        <v>1.0986119999999999</v>
      </c>
    </row>
    <row r="183" spans="1:9">
      <c r="A183" s="30" t="s">
        <v>619</v>
      </c>
      <c r="B183" s="30" t="s">
        <v>703</v>
      </c>
      <c r="C183" s="30">
        <v>3</v>
      </c>
      <c r="D183" s="30">
        <v>236</v>
      </c>
      <c r="E183" s="30">
        <v>708</v>
      </c>
      <c r="F183" s="30" t="s">
        <v>621</v>
      </c>
      <c r="G183" s="30" t="s">
        <v>624</v>
      </c>
      <c r="H183" s="30">
        <v>1.0986119999999999</v>
      </c>
      <c r="I183" s="30">
        <v>5.463832</v>
      </c>
    </row>
    <row r="184" spans="1:9">
      <c r="A184" s="30" t="s">
        <v>619</v>
      </c>
      <c r="B184" s="30" t="s">
        <v>704</v>
      </c>
      <c r="C184" s="30">
        <v>4</v>
      </c>
      <c r="D184" s="30">
        <v>3956</v>
      </c>
      <c r="E184" s="30">
        <v>15816.6</v>
      </c>
      <c r="F184" s="30" t="s">
        <v>621</v>
      </c>
      <c r="G184" s="30" t="s">
        <v>638</v>
      </c>
      <c r="H184" s="30">
        <v>1.3862939999999999</v>
      </c>
      <c r="I184" s="30">
        <v>8.2829890000000006</v>
      </c>
    </row>
    <row r="185" spans="1:9">
      <c r="A185" s="30" t="s">
        <v>619</v>
      </c>
      <c r="B185" s="30" t="s">
        <v>705</v>
      </c>
      <c r="C185" s="30">
        <v>3</v>
      </c>
      <c r="D185" s="30">
        <v>4712</v>
      </c>
      <c r="E185" s="30">
        <v>14109.75</v>
      </c>
      <c r="F185" s="30" t="s">
        <v>621</v>
      </c>
      <c r="G185" s="30" t="s">
        <v>638</v>
      </c>
      <c r="H185" s="30">
        <v>1.0986119999999999</v>
      </c>
      <c r="I185" s="30">
        <v>8.4578679999999995</v>
      </c>
    </row>
    <row r="186" spans="1:9">
      <c r="A186" s="30" t="s">
        <v>619</v>
      </c>
      <c r="B186" s="30" t="s">
        <v>706</v>
      </c>
      <c r="C186" s="30">
        <v>50</v>
      </c>
      <c r="D186" s="30">
        <v>281</v>
      </c>
      <c r="E186" s="30">
        <v>12190</v>
      </c>
      <c r="F186" s="30" t="s">
        <v>621</v>
      </c>
      <c r="G186" s="30" t="s">
        <v>237</v>
      </c>
      <c r="H186" s="30">
        <v>3.912023</v>
      </c>
      <c r="I186" s="30">
        <v>5.6383549999999998</v>
      </c>
    </row>
    <row r="187" spans="1:9">
      <c r="A187" s="30" t="s">
        <v>619</v>
      </c>
      <c r="B187" s="30" t="s">
        <v>707</v>
      </c>
      <c r="C187" s="30">
        <v>60</v>
      </c>
      <c r="D187" s="30">
        <v>1027</v>
      </c>
      <c r="E187" s="30">
        <v>56925</v>
      </c>
      <c r="F187" s="30" t="s">
        <v>621</v>
      </c>
      <c r="G187" s="30" t="s">
        <v>237</v>
      </c>
      <c r="H187" s="30">
        <v>4.0943449999999997</v>
      </c>
      <c r="I187" s="30">
        <v>6.9343969999999997</v>
      </c>
    </row>
    <row r="188" spans="1:9">
      <c r="A188" s="30" t="s">
        <v>619</v>
      </c>
      <c r="B188" s="30" t="s">
        <v>708</v>
      </c>
      <c r="C188" s="30">
        <v>50</v>
      </c>
      <c r="D188" s="30">
        <v>2381</v>
      </c>
      <c r="E188" s="30">
        <v>109572.5</v>
      </c>
      <c r="F188" s="30" t="s">
        <v>621</v>
      </c>
      <c r="G188" s="30" t="s">
        <v>237</v>
      </c>
      <c r="H188" s="30">
        <v>3.912023</v>
      </c>
      <c r="I188" s="30">
        <v>7.7752759999999999</v>
      </c>
    </row>
    <row r="189" spans="1:9">
      <c r="A189" s="30" t="s">
        <v>619</v>
      </c>
      <c r="B189" s="30" t="s">
        <v>709</v>
      </c>
      <c r="C189" s="30">
        <v>40</v>
      </c>
      <c r="D189" s="30">
        <v>1514</v>
      </c>
      <c r="E189" s="30">
        <v>52236</v>
      </c>
      <c r="F189" s="30" t="s">
        <v>621</v>
      </c>
      <c r="G189" s="30" t="s">
        <v>237</v>
      </c>
      <c r="H189" s="30">
        <v>3.688879</v>
      </c>
      <c r="I189" s="30">
        <v>7.3225100000000003</v>
      </c>
    </row>
    <row r="190" spans="1:9">
      <c r="A190" s="30" t="s">
        <v>619</v>
      </c>
      <c r="B190" s="30" t="s">
        <v>710</v>
      </c>
      <c r="C190" s="30">
        <v>20</v>
      </c>
      <c r="D190" s="30">
        <v>353</v>
      </c>
      <c r="E190" s="30">
        <v>6690</v>
      </c>
      <c r="F190" s="30" t="s">
        <v>621</v>
      </c>
      <c r="G190" s="30" t="s">
        <v>237</v>
      </c>
      <c r="H190" s="30">
        <v>2.9957319999999998</v>
      </c>
      <c r="I190" s="30">
        <v>5.8664680000000002</v>
      </c>
    </row>
    <row r="191" spans="1:9">
      <c r="A191" s="30" t="s">
        <v>619</v>
      </c>
      <c r="B191" s="30" t="s">
        <v>711</v>
      </c>
      <c r="C191" s="30">
        <v>10</v>
      </c>
      <c r="D191" s="30">
        <v>87</v>
      </c>
      <c r="E191" s="30">
        <v>435</v>
      </c>
      <c r="F191" s="30" t="s">
        <v>621</v>
      </c>
      <c r="G191" s="30" t="s">
        <v>642</v>
      </c>
      <c r="H191" s="30">
        <v>2.3025850000000001</v>
      </c>
      <c r="I191" s="30">
        <v>4.4659079999999998</v>
      </c>
    </row>
    <row r="192" spans="1:9">
      <c r="A192" s="30" t="s">
        <v>619</v>
      </c>
      <c r="B192" s="30" t="s">
        <v>712</v>
      </c>
      <c r="C192" s="30">
        <v>10</v>
      </c>
      <c r="D192" s="30">
        <v>6</v>
      </c>
      <c r="E192" s="30">
        <v>60</v>
      </c>
      <c r="F192" s="30" t="s">
        <v>626</v>
      </c>
      <c r="G192" s="30" t="s">
        <v>642</v>
      </c>
      <c r="H192" s="30">
        <v>2.3025850000000001</v>
      </c>
      <c r="I192" s="30">
        <v>1.7917590000000001</v>
      </c>
    </row>
    <row r="193" spans="1:9">
      <c r="A193" s="30" t="s">
        <v>619</v>
      </c>
      <c r="B193" s="30" t="s">
        <v>713</v>
      </c>
      <c r="C193" s="30">
        <v>7</v>
      </c>
      <c r="D193" s="30">
        <v>24008</v>
      </c>
      <c r="E193" s="30">
        <v>168052.5</v>
      </c>
      <c r="F193" s="30" t="s">
        <v>621</v>
      </c>
      <c r="G193" s="30" t="s">
        <v>237</v>
      </c>
      <c r="H193" s="30">
        <v>1.94591</v>
      </c>
      <c r="I193" s="30">
        <v>10.08614</v>
      </c>
    </row>
    <row r="194" spans="1:9">
      <c r="A194" s="30" t="s">
        <v>619</v>
      </c>
      <c r="B194" s="30" t="s">
        <v>714</v>
      </c>
      <c r="C194" s="30">
        <v>6</v>
      </c>
      <c r="D194" s="30">
        <v>57155</v>
      </c>
      <c r="E194" s="30">
        <v>342945</v>
      </c>
      <c r="F194" s="30" t="s">
        <v>621</v>
      </c>
      <c r="G194" s="30" t="s">
        <v>237</v>
      </c>
      <c r="H194" s="30">
        <v>1.7917590000000001</v>
      </c>
      <c r="I194" s="30">
        <v>10.953519999999999</v>
      </c>
    </row>
    <row r="195" spans="1:9">
      <c r="A195" s="30" t="s">
        <v>619</v>
      </c>
      <c r="B195" s="30" t="s">
        <v>715</v>
      </c>
      <c r="C195" s="30">
        <v>10</v>
      </c>
      <c r="D195" s="30">
        <v>20</v>
      </c>
      <c r="E195" s="30">
        <v>200</v>
      </c>
      <c r="F195" s="30" t="s">
        <v>621</v>
      </c>
      <c r="G195" s="30" t="s">
        <v>648</v>
      </c>
      <c r="H195" s="30">
        <v>2.3025850000000001</v>
      </c>
      <c r="I195" s="30">
        <v>2.9957319999999998</v>
      </c>
    </row>
    <row r="196" spans="1:9">
      <c r="A196" s="30" t="s">
        <v>619</v>
      </c>
      <c r="B196" s="30" t="s">
        <v>716</v>
      </c>
      <c r="C196" s="30">
        <v>4</v>
      </c>
      <c r="D196" s="30">
        <v>270</v>
      </c>
      <c r="E196" s="30">
        <v>1080</v>
      </c>
      <c r="F196" s="30" t="s">
        <v>621</v>
      </c>
      <c r="G196" s="30" t="s">
        <v>648</v>
      </c>
      <c r="H196" s="30">
        <v>1.3862939999999999</v>
      </c>
      <c r="I196" s="30">
        <v>5.5984220000000002</v>
      </c>
    </row>
    <row r="197" spans="1:9">
      <c r="A197" s="30" t="s">
        <v>619</v>
      </c>
      <c r="B197" s="30" t="s">
        <v>717</v>
      </c>
      <c r="C197" s="30">
        <v>5</v>
      </c>
      <c r="D197" s="30">
        <v>235</v>
      </c>
      <c r="E197" s="30">
        <v>1175</v>
      </c>
      <c r="F197" s="30" t="s">
        <v>621</v>
      </c>
      <c r="G197" s="30" t="s">
        <v>648</v>
      </c>
      <c r="H197" s="30">
        <v>1.6094379999999999</v>
      </c>
      <c r="I197" s="30">
        <v>5.4595859999999998</v>
      </c>
    </row>
    <row r="198" spans="1:9">
      <c r="A198" s="30" t="s">
        <v>619</v>
      </c>
      <c r="B198" s="30" t="s">
        <v>718</v>
      </c>
      <c r="C198" s="30">
        <v>6</v>
      </c>
      <c r="D198" s="30">
        <v>332</v>
      </c>
      <c r="E198" s="30">
        <v>1992</v>
      </c>
      <c r="F198" s="30" t="s">
        <v>621</v>
      </c>
      <c r="G198" s="30" t="s">
        <v>648</v>
      </c>
      <c r="H198" s="30">
        <v>1.7917590000000001</v>
      </c>
      <c r="I198" s="30">
        <v>5.8051349999999999</v>
      </c>
    </row>
    <row r="199" spans="1:9">
      <c r="A199" s="30" t="s">
        <v>619</v>
      </c>
      <c r="B199" s="30" t="s">
        <v>719</v>
      </c>
      <c r="C199" s="30">
        <v>7</v>
      </c>
      <c r="D199" s="30">
        <v>1351</v>
      </c>
      <c r="E199" s="30">
        <v>9457</v>
      </c>
      <c r="F199" s="30" t="s">
        <v>621</v>
      </c>
      <c r="G199" s="30" t="s">
        <v>648</v>
      </c>
      <c r="H199" s="30">
        <v>1.94591</v>
      </c>
      <c r="I199" s="30">
        <v>7.2085999999999997</v>
      </c>
    </row>
    <row r="200" spans="1:9">
      <c r="A200" s="30" t="s">
        <v>619</v>
      </c>
      <c r="B200" s="30" t="s">
        <v>720</v>
      </c>
      <c r="C200" s="30">
        <v>8</v>
      </c>
      <c r="D200" s="30">
        <v>175</v>
      </c>
      <c r="E200" s="30">
        <v>1400</v>
      </c>
      <c r="F200" s="30" t="s">
        <v>621</v>
      </c>
      <c r="G200" s="30" t="s">
        <v>648</v>
      </c>
      <c r="H200" s="30">
        <v>2.0794419999999998</v>
      </c>
      <c r="I200" s="30">
        <v>5.1647860000000003</v>
      </c>
    </row>
    <row r="201" spans="1:9">
      <c r="A201" s="30" t="s">
        <v>619</v>
      </c>
      <c r="B201" s="30" t="s">
        <v>721</v>
      </c>
      <c r="C201" s="30">
        <v>1</v>
      </c>
      <c r="D201" s="30">
        <v>3221</v>
      </c>
      <c r="E201" s="30">
        <v>3221</v>
      </c>
      <c r="F201" s="30" t="s">
        <v>621</v>
      </c>
      <c r="G201" s="30" t="s">
        <v>237</v>
      </c>
      <c r="H201" s="30">
        <v>0</v>
      </c>
      <c r="I201" s="30">
        <v>8.0774469999999994</v>
      </c>
    </row>
    <row r="202" spans="1:9">
      <c r="A202" s="30" t="s">
        <v>619</v>
      </c>
      <c r="B202" s="30" t="s">
        <v>722</v>
      </c>
      <c r="C202" s="30">
        <v>15</v>
      </c>
      <c r="D202" s="30">
        <v>143</v>
      </c>
      <c r="E202" s="30">
        <v>2145</v>
      </c>
      <c r="F202" s="30" t="s">
        <v>621</v>
      </c>
      <c r="G202" s="30" t="s">
        <v>237</v>
      </c>
      <c r="H202" s="30">
        <v>2.7080500000000001</v>
      </c>
      <c r="I202" s="30">
        <v>4.9628449999999997</v>
      </c>
    </row>
    <row r="203" spans="1:9">
      <c r="A203" s="30" t="s">
        <v>619</v>
      </c>
      <c r="B203" s="30" t="s">
        <v>723</v>
      </c>
      <c r="C203" s="30">
        <v>15</v>
      </c>
      <c r="D203" s="30">
        <v>25</v>
      </c>
      <c r="E203" s="30">
        <v>375</v>
      </c>
      <c r="F203" s="30" t="s">
        <v>621</v>
      </c>
      <c r="G203" s="30" t="s">
        <v>237</v>
      </c>
      <c r="H203" s="30">
        <v>2.7080500000000001</v>
      </c>
      <c r="I203" s="30">
        <v>3.2188759999999998</v>
      </c>
    </row>
    <row r="204" spans="1:9">
      <c r="A204" s="30" t="s">
        <v>619</v>
      </c>
      <c r="B204" s="30" t="s">
        <v>724</v>
      </c>
      <c r="C204" s="30">
        <v>3</v>
      </c>
      <c r="D204" s="30">
        <v>2105</v>
      </c>
      <c r="E204" s="30">
        <v>6315</v>
      </c>
      <c r="F204" s="30" t="s">
        <v>621</v>
      </c>
      <c r="G204" s="30" t="s">
        <v>237</v>
      </c>
      <c r="H204" s="30">
        <v>1.0986119999999999</v>
      </c>
      <c r="I204" s="30">
        <v>7.6520710000000003</v>
      </c>
    </row>
    <row r="205" spans="1:9">
      <c r="A205" s="30" t="s">
        <v>619</v>
      </c>
      <c r="B205" s="30" t="s">
        <v>725</v>
      </c>
      <c r="C205" s="30">
        <v>25</v>
      </c>
      <c r="D205" s="30">
        <v>34</v>
      </c>
      <c r="E205" s="30">
        <v>850</v>
      </c>
      <c r="F205" s="30" t="s">
        <v>621</v>
      </c>
      <c r="G205" s="30" t="s">
        <v>237</v>
      </c>
      <c r="H205" s="30">
        <v>3.2188759999999998</v>
      </c>
      <c r="I205" s="30">
        <v>3.5263610000000001</v>
      </c>
    </row>
    <row r="206" spans="1:9">
      <c r="A206" s="30" t="s">
        <v>619</v>
      </c>
      <c r="B206" s="30" t="s">
        <v>726</v>
      </c>
      <c r="C206" s="30">
        <v>10</v>
      </c>
      <c r="D206" s="30">
        <v>43</v>
      </c>
      <c r="E206" s="30">
        <v>425</v>
      </c>
      <c r="F206" s="30" t="s">
        <v>621</v>
      </c>
      <c r="G206" s="30" t="s">
        <v>237</v>
      </c>
      <c r="H206" s="30">
        <v>2.3025850000000001</v>
      </c>
      <c r="I206" s="30">
        <v>3.7612000000000001</v>
      </c>
    </row>
    <row r="207" spans="1:9">
      <c r="A207" s="30" t="s">
        <v>619</v>
      </c>
      <c r="B207" s="30" t="s">
        <v>727</v>
      </c>
      <c r="C207" s="30">
        <v>30</v>
      </c>
      <c r="D207" s="30">
        <v>9</v>
      </c>
      <c r="E207" s="30">
        <v>270</v>
      </c>
      <c r="F207" s="30" t="s">
        <v>626</v>
      </c>
      <c r="G207" s="30" t="s">
        <v>728</v>
      </c>
      <c r="H207" s="30">
        <v>3.4011969999999998</v>
      </c>
      <c r="I207" s="30">
        <v>2.197225</v>
      </c>
    </row>
    <row r="208" spans="1:9">
      <c r="A208" s="30" t="s">
        <v>619</v>
      </c>
      <c r="B208" s="30" t="s">
        <v>729</v>
      </c>
      <c r="C208" s="30">
        <v>5</v>
      </c>
      <c r="D208" s="30">
        <v>34</v>
      </c>
      <c r="E208" s="30">
        <v>170</v>
      </c>
      <c r="F208" s="30" t="s">
        <v>621</v>
      </c>
      <c r="G208" s="30" t="s">
        <v>648</v>
      </c>
      <c r="H208" s="30">
        <v>1.6094379999999999</v>
      </c>
      <c r="I208" s="30">
        <v>3.5263610000000001</v>
      </c>
    </row>
    <row r="209" spans="1:9">
      <c r="A209" s="30" t="s">
        <v>619</v>
      </c>
      <c r="B209" s="30" t="s">
        <v>730</v>
      </c>
      <c r="C209" s="30">
        <v>6</v>
      </c>
      <c r="D209" s="30">
        <v>88</v>
      </c>
      <c r="E209" s="30">
        <v>528</v>
      </c>
      <c r="F209" s="30" t="s">
        <v>621</v>
      </c>
      <c r="G209" s="30" t="s">
        <v>648</v>
      </c>
      <c r="H209" s="30">
        <v>1.7917590000000001</v>
      </c>
      <c r="I209" s="30">
        <v>4.4773370000000003</v>
      </c>
    </row>
    <row r="210" spans="1:9">
      <c r="A210" s="30" t="s">
        <v>619</v>
      </c>
      <c r="B210" s="30" t="s">
        <v>731</v>
      </c>
      <c r="C210" s="30">
        <v>7</v>
      </c>
      <c r="D210" s="30">
        <v>128</v>
      </c>
      <c r="E210" s="30">
        <v>896</v>
      </c>
      <c r="F210" s="30" t="s">
        <v>621</v>
      </c>
      <c r="G210" s="30" t="s">
        <v>648</v>
      </c>
      <c r="H210" s="30">
        <v>1.94591</v>
      </c>
      <c r="I210" s="30">
        <v>4.8520300000000001</v>
      </c>
    </row>
    <row r="211" spans="1:9">
      <c r="A211" s="30" t="s">
        <v>619</v>
      </c>
      <c r="B211" s="30" t="s">
        <v>732</v>
      </c>
      <c r="C211" s="30">
        <v>8</v>
      </c>
      <c r="D211" s="30">
        <v>197</v>
      </c>
      <c r="E211" s="30">
        <v>1576</v>
      </c>
      <c r="F211" s="30" t="s">
        <v>621</v>
      </c>
      <c r="G211" s="30" t="s">
        <v>648</v>
      </c>
      <c r="H211" s="30">
        <v>2.0794419999999998</v>
      </c>
      <c r="I211" s="30">
        <v>5.2832039999999996</v>
      </c>
    </row>
    <row r="212" spans="1:9">
      <c r="A212" s="30" t="s">
        <v>619</v>
      </c>
      <c r="B212" s="30" t="s">
        <v>733</v>
      </c>
      <c r="C212" s="30">
        <v>1</v>
      </c>
      <c r="D212" s="30">
        <v>247</v>
      </c>
      <c r="E212" s="30">
        <v>245.7</v>
      </c>
      <c r="F212" s="30" t="s">
        <v>626</v>
      </c>
      <c r="G212" s="30" t="s">
        <v>627</v>
      </c>
      <c r="H212" s="30">
        <v>0</v>
      </c>
      <c r="I212" s="30">
        <v>5.5093880000000004</v>
      </c>
    </row>
    <row r="213" spans="1:9">
      <c r="A213" s="30" t="s">
        <v>619</v>
      </c>
      <c r="B213" s="30" t="s">
        <v>734</v>
      </c>
      <c r="C213" s="30">
        <v>1</v>
      </c>
      <c r="D213" s="30">
        <v>49</v>
      </c>
      <c r="E213" s="30">
        <v>48.8</v>
      </c>
      <c r="F213" s="30" t="s">
        <v>626</v>
      </c>
      <c r="G213" s="30" t="s">
        <v>627</v>
      </c>
      <c r="H213" s="30">
        <v>0</v>
      </c>
      <c r="I213" s="30">
        <v>3.8918200000000001</v>
      </c>
    </row>
    <row r="214" spans="1:9">
      <c r="A214" s="30" t="s">
        <v>619</v>
      </c>
      <c r="B214" s="30" t="s">
        <v>735</v>
      </c>
      <c r="C214" s="30">
        <v>1</v>
      </c>
      <c r="D214" s="30">
        <v>245</v>
      </c>
      <c r="E214" s="30">
        <v>244.4</v>
      </c>
      <c r="F214" s="30" t="s">
        <v>626</v>
      </c>
      <c r="G214" s="30" t="s">
        <v>627</v>
      </c>
      <c r="H214" s="30">
        <v>0</v>
      </c>
      <c r="I214" s="30">
        <v>5.501258</v>
      </c>
    </row>
    <row r="215" spans="1:9">
      <c r="A215" s="30" t="s">
        <v>619</v>
      </c>
      <c r="B215" s="30" t="s">
        <v>736</v>
      </c>
      <c r="C215" s="30">
        <v>25</v>
      </c>
      <c r="D215" s="30">
        <v>1</v>
      </c>
      <c r="E215" s="30">
        <v>25</v>
      </c>
      <c r="F215" s="30" t="s">
        <v>626</v>
      </c>
      <c r="G215" s="30" t="s">
        <v>737</v>
      </c>
      <c r="H215" s="30">
        <v>3.2188759999999998</v>
      </c>
      <c r="I215" s="30">
        <v>0</v>
      </c>
    </row>
    <row r="216" spans="1:9">
      <c r="A216" s="30" t="s">
        <v>619</v>
      </c>
      <c r="B216" s="30" t="s">
        <v>738</v>
      </c>
      <c r="C216" s="30">
        <v>1</v>
      </c>
      <c r="D216" s="30">
        <v>1</v>
      </c>
      <c r="E216" s="30">
        <v>1</v>
      </c>
      <c r="F216" s="30" t="s">
        <v>621</v>
      </c>
      <c r="G216" s="30" t="s">
        <v>648</v>
      </c>
      <c r="H216" s="30">
        <v>0</v>
      </c>
      <c r="I216" s="30">
        <v>0</v>
      </c>
    </row>
    <row r="217" spans="1:9">
      <c r="A217" s="30" t="s">
        <v>619</v>
      </c>
      <c r="B217" s="30" t="s">
        <v>739</v>
      </c>
      <c r="C217" s="30">
        <v>1</v>
      </c>
      <c r="D217" s="30">
        <v>204</v>
      </c>
      <c r="E217" s="30">
        <v>204</v>
      </c>
      <c r="F217" s="30" t="s">
        <v>626</v>
      </c>
      <c r="G217" s="30" t="s">
        <v>627</v>
      </c>
      <c r="H217" s="30">
        <v>0</v>
      </c>
      <c r="I217" s="30">
        <v>5.3181200000000004</v>
      </c>
    </row>
    <row r="218" spans="1:9">
      <c r="A218" s="30" t="s">
        <v>619</v>
      </c>
      <c r="B218" s="30" t="s">
        <v>740</v>
      </c>
      <c r="C218" s="30">
        <v>2</v>
      </c>
      <c r="D218" s="30">
        <v>1</v>
      </c>
      <c r="E218" s="30">
        <v>2</v>
      </c>
      <c r="F218" s="30" t="s">
        <v>626</v>
      </c>
      <c r="G218" s="30" t="s">
        <v>663</v>
      </c>
      <c r="H218" s="30">
        <v>0.69314699999999996</v>
      </c>
      <c r="I218" s="30">
        <v>0</v>
      </c>
    </row>
    <row r="219" spans="1:9">
      <c r="A219" s="30" t="s">
        <v>619</v>
      </c>
      <c r="B219" s="30" t="s">
        <v>741</v>
      </c>
      <c r="C219" s="30">
        <v>1</v>
      </c>
      <c r="D219" s="30">
        <v>1</v>
      </c>
      <c r="E219" s="30">
        <v>1</v>
      </c>
      <c r="F219" s="30" t="s">
        <v>626</v>
      </c>
      <c r="G219" s="30" t="s">
        <v>663</v>
      </c>
      <c r="H219" s="30">
        <v>0</v>
      </c>
      <c r="I219" s="30">
        <v>0</v>
      </c>
    </row>
    <row r="220" spans="1:9">
      <c r="A220" s="30" t="s">
        <v>619</v>
      </c>
      <c r="B220" s="30" t="s">
        <v>742</v>
      </c>
      <c r="C220" s="30">
        <v>1</v>
      </c>
      <c r="D220" s="30">
        <v>1</v>
      </c>
      <c r="E220" s="30">
        <v>1</v>
      </c>
      <c r="F220" s="30" t="s">
        <v>626</v>
      </c>
      <c r="G220" s="30" t="s">
        <v>638</v>
      </c>
      <c r="H220" s="30">
        <v>0</v>
      </c>
      <c r="I220" s="30">
        <v>0</v>
      </c>
    </row>
    <row r="221" spans="1:9">
      <c r="A221" s="30" t="s">
        <v>619</v>
      </c>
      <c r="B221" s="30" t="s">
        <v>743</v>
      </c>
      <c r="C221" s="30">
        <v>3</v>
      </c>
      <c r="D221" s="30">
        <v>1</v>
      </c>
      <c r="E221" s="30">
        <v>3</v>
      </c>
      <c r="F221" s="30" t="s">
        <v>621</v>
      </c>
      <c r="G221" s="30" t="s">
        <v>648</v>
      </c>
      <c r="H221" s="30">
        <v>1.0986119999999999</v>
      </c>
      <c r="I221" s="30">
        <v>0</v>
      </c>
    </row>
    <row r="222" spans="1:9">
      <c r="A222" s="30" t="s">
        <v>619</v>
      </c>
      <c r="B222" s="30" t="s">
        <v>744</v>
      </c>
      <c r="C222" s="30">
        <v>1</v>
      </c>
      <c r="D222" s="30">
        <v>1</v>
      </c>
      <c r="E222" s="30">
        <v>1</v>
      </c>
      <c r="F222" s="30" t="s">
        <v>621</v>
      </c>
      <c r="G222" s="30" t="s">
        <v>648</v>
      </c>
      <c r="H222" s="30">
        <v>0</v>
      </c>
      <c r="I222" s="30">
        <v>0</v>
      </c>
    </row>
    <row r="223" spans="1:9">
      <c r="A223" s="30" t="s">
        <v>619</v>
      </c>
      <c r="B223" s="30" t="s">
        <v>745</v>
      </c>
      <c r="C223" s="30">
        <v>5</v>
      </c>
      <c r="D223" s="30">
        <v>1</v>
      </c>
      <c r="E223" s="30">
        <v>5</v>
      </c>
      <c r="F223" s="30" t="s">
        <v>621</v>
      </c>
      <c r="G223" s="30" t="s">
        <v>648</v>
      </c>
      <c r="H223" s="30">
        <v>1.6094379999999999</v>
      </c>
      <c r="I223" s="30">
        <v>0</v>
      </c>
    </row>
    <row r="224" spans="1:9">
      <c r="A224" s="30" t="s">
        <v>619</v>
      </c>
      <c r="B224" s="30" t="s">
        <v>746</v>
      </c>
      <c r="C224" s="30">
        <v>3</v>
      </c>
      <c r="D224" s="30">
        <v>1</v>
      </c>
      <c r="E224" s="30">
        <v>3</v>
      </c>
      <c r="F224" s="30" t="s">
        <v>621</v>
      </c>
      <c r="G224" s="30" t="s">
        <v>622</v>
      </c>
      <c r="H224" s="30">
        <v>1.0986119999999999</v>
      </c>
      <c r="I224" s="30">
        <v>0</v>
      </c>
    </row>
    <row r="225" spans="1:9">
      <c r="A225" s="30" t="s">
        <v>619</v>
      </c>
      <c r="B225" s="30" t="s">
        <v>747</v>
      </c>
      <c r="C225" s="30">
        <v>3.5</v>
      </c>
      <c r="D225" s="30">
        <v>1</v>
      </c>
      <c r="E225" s="30">
        <v>3.5</v>
      </c>
      <c r="F225" s="30" t="s">
        <v>626</v>
      </c>
      <c r="G225" s="30" t="s">
        <v>663</v>
      </c>
      <c r="H225" s="30">
        <v>1.2527630000000001</v>
      </c>
      <c r="I225" s="30">
        <v>0</v>
      </c>
    </row>
    <row r="226" spans="1:9">
      <c r="A226" s="30" t="s">
        <v>619</v>
      </c>
      <c r="B226" s="30" t="s">
        <v>748</v>
      </c>
      <c r="C226" s="30">
        <v>3</v>
      </c>
      <c r="D226" s="30">
        <v>1</v>
      </c>
      <c r="E226" s="30">
        <v>3</v>
      </c>
      <c r="F226" s="30" t="s">
        <v>626</v>
      </c>
      <c r="G226" s="30" t="s">
        <v>663</v>
      </c>
      <c r="H226" s="30">
        <v>1.0986119999999999</v>
      </c>
      <c r="I226" s="30">
        <v>0</v>
      </c>
    </row>
    <row r="227" spans="1:9">
      <c r="A227" s="30" t="s">
        <v>619</v>
      </c>
      <c r="B227" s="30" t="s">
        <v>749</v>
      </c>
      <c r="C227" s="30">
        <v>3</v>
      </c>
      <c r="D227" s="30">
        <v>1</v>
      </c>
      <c r="E227" s="30">
        <v>3</v>
      </c>
      <c r="F227" s="30" t="s">
        <v>626</v>
      </c>
      <c r="G227" s="30" t="s">
        <v>663</v>
      </c>
      <c r="H227" s="30">
        <v>1.0986119999999999</v>
      </c>
      <c r="I227" s="30">
        <v>0</v>
      </c>
    </row>
    <row r="228" spans="1:9">
      <c r="A228" s="30" t="s">
        <v>619</v>
      </c>
      <c r="B228" s="30" t="s">
        <v>750</v>
      </c>
      <c r="C228" s="30">
        <v>2</v>
      </c>
      <c r="D228" s="30">
        <v>1</v>
      </c>
      <c r="E228" s="30">
        <v>2</v>
      </c>
      <c r="F228" s="30" t="s">
        <v>626</v>
      </c>
      <c r="G228" s="30" t="s">
        <v>663</v>
      </c>
      <c r="H228" s="30">
        <v>0.69314699999999996</v>
      </c>
      <c r="I228" s="30">
        <v>0</v>
      </c>
    </row>
    <row r="229" spans="1:9">
      <c r="A229" s="30" t="s">
        <v>619</v>
      </c>
      <c r="B229" s="30" t="s">
        <v>751</v>
      </c>
      <c r="C229" s="30">
        <v>3</v>
      </c>
      <c r="D229" s="30">
        <v>1</v>
      </c>
      <c r="E229" s="30">
        <v>3</v>
      </c>
      <c r="F229" s="30" t="s">
        <v>621</v>
      </c>
      <c r="G229" s="30" t="s">
        <v>624</v>
      </c>
      <c r="H229" s="30">
        <v>1.0986119999999999</v>
      </c>
      <c r="I229" s="30">
        <v>0</v>
      </c>
    </row>
    <row r="230" spans="1:9">
      <c r="A230" s="30" t="s">
        <v>619</v>
      </c>
      <c r="B230" s="30" t="s">
        <v>752</v>
      </c>
      <c r="C230" s="30">
        <v>1</v>
      </c>
      <c r="D230" s="30">
        <v>1</v>
      </c>
      <c r="E230" s="30">
        <v>1</v>
      </c>
      <c r="F230" s="30" t="s">
        <v>621</v>
      </c>
      <c r="G230" s="30" t="s">
        <v>622</v>
      </c>
      <c r="H230" s="30">
        <v>0</v>
      </c>
      <c r="I230" s="30">
        <v>0</v>
      </c>
    </row>
    <row r="231" spans="1:9">
      <c r="A231" s="30" t="s">
        <v>619</v>
      </c>
      <c r="B231" s="30" t="s">
        <v>753</v>
      </c>
      <c r="C231" s="30">
        <v>3</v>
      </c>
      <c r="D231" s="30">
        <v>1</v>
      </c>
      <c r="E231" s="30">
        <v>3</v>
      </c>
      <c r="F231" s="30" t="s">
        <v>621</v>
      </c>
      <c r="G231" s="30" t="s">
        <v>624</v>
      </c>
      <c r="H231" s="30">
        <v>1.0986119999999999</v>
      </c>
      <c r="I231" s="30">
        <v>0</v>
      </c>
    </row>
    <row r="232" spans="1:9">
      <c r="A232" s="30" t="s">
        <v>619</v>
      </c>
      <c r="B232" s="30" t="s">
        <v>754</v>
      </c>
      <c r="C232" s="30">
        <v>3</v>
      </c>
      <c r="D232" s="30">
        <v>1</v>
      </c>
      <c r="E232" s="30">
        <v>3</v>
      </c>
      <c r="F232" s="30" t="s">
        <v>621</v>
      </c>
      <c r="G232" s="30" t="s">
        <v>624</v>
      </c>
      <c r="H232" s="30">
        <v>1.0986119999999999</v>
      </c>
      <c r="I232" s="30">
        <v>0</v>
      </c>
    </row>
    <row r="233" spans="1:9">
      <c r="A233" s="30" t="s">
        <v>619</v>
      </c>
      <c r="B233" s="30" t="s">
        <v>755</v>
      </c>
      <c r="C233" s="30">
        <v>1</v>
      </c>
      <c r="D233" s="30">
        <v>3</v>
      </c>
      <c r="E233" s="30">
        <v>3</v>
      </c>
      <c r="F233" s="30" t="s">
        <v>626</v>
      </c>
      <c r="G233" s="30" t="s">
        <v>627</v>
      </c>
      <c r="H233" s="30">
        <v>0</v>
      </c>
      <c r="I233" s="30">
        <v>1.0986119999999999</v>
      </c>
    </row>
    <row r="234" spans="1:9">
      <c r="A234" s="30" t="s">
        <v>619</v>
      </c>
      <c r="B234" s="30" t="s">
        <v>756</v>
      </c>
      <c r="C234" s="30">
        <v>0.5</v>
      </c>
      <c r="D234" s="30">
        <v>2</v>
      </c>
      <c r="E234" s="30">
        <v>1</v>
      </c>
      <c r="F234" s="30" t="s">
        <v>626</v>
      </c>
      <c r="G234" s="30" t="s">
        <v>663</v>
      </c>
      <c r="H234" s="30">
        <v>-0.69315000000000004</v>
      </c>
      <c r="I234" s="30">
        <v>0.69314699999999996</v>
      </c>
    </row>
    <row r="235" spans="1:9">
      <c r="A235" s="30" t="s">
        <v>619</v>
      </c>
      <c r="B235" s="30" t="s">
        <v>757</v>
      </c>
      <c r="C235" s="30">
        <v>3</v>
      </c>
      <c r="D235" s="30">
        <v>2</v>
      </c>
      <c r="E235" s="30">
        <v>6</v>
      </c>
      <c r="F235" s="30" t="s">
        <v>626</v>
      </c>
      <c r="G235" s="30" t="s">
        <v>638</v>
      </c>
      <c r="H235" s="30">
        <v>1.0986119999999999</v>
      </c>
      <c r="I235" s="30">
        <v>0.69314699999999996</v>
      </c>
    </row>
    <row r="236" spans="1:9">
      <c r="A236" s="30" t="s">
        <v>619</v>
      </c>
      <c r="B236" s="30" t="s">
        <v>758</v>
      </c>
      <c r="C236" s="30">
        <v>3</v>
      </c>
      <c r="D236" s="30">
        <v>2</v>
      </c>
      <c r="E236" s="30">
        <v>6</v>
      </c>
      <c r="F236" s="30" t="s">
        <v>626</v>
      </c>
      <c r="G236" s="30" t="s">
        <v>638</v>
      </c>
      <c r="H236" s="30">
        <v>1.0986119999999999</v>
      </c>
      <c r="I236" s="30">
        <v>0.69314699999999996</v>
      </c>
    </row>
    <row r="237" spans="1:9">
      <c r="A237" s="30" t="s">
        <v>619</v>
      </c>
      <c r="B237" s="30" t="s">
        <v>759</v>
      </c>
      <c r="C237" s="30">
        <v>150</v>
      </c>
      <c r="D237" s="30">
        <v>2</v>
      </c>
      <c r="E237" s="30">
        <v>150</v>
      </c>
      <c r="F237" s="30" t="s">
        <v>621</v>
      </c>
      <c r="G237" s="30" t="s">
        <v>648</v>
      </c>
      <c r="H237" s="30">
        <v>5.0106349999999997</v>
      </c>
      <c r="I237" s="30">
        <v>0.69314699999999996</v>
      </c>
    </row>
    <row r="238" spans="1:9">
      <c r="A238" s="30" t="s">
        <v>619</v>
      </c>
      <c r="B238" s="30" t="s">
        <v>760</v>
      </c>
      <c r="C238" s="30">
        <v>10</v>
      </c>
      <c r="D238" s="30">
        <v>2</v>
      </c>
      <c r="E238" s="30">
        <v>20</v>
      </c>
      <c r="F238" s="30" t="s">
        <v>626</v>
      </c>
      <c r="G238" s="30" t="s">
        <v>642</v>
      </c>
      <c r="H238" s="30">
        <v>2.3025850000000001</v>
      </c>
      <c r="I238" s="30">
        <v>0.69314699999999996</v>
      </c>
    </row>
    <row r="239" spans="1:9">
      <c r="A239" s="30" t="s">
        <v>619</v>
      </c>
      <c r="B239" s="30" t="s">
        <v>761</v>
      </c>
      <c r="C239" s="30">
        <v>5</v>
      </c>
      <c r="D239" s="30">
        <v>2</v>
      </c>
      <c r="E239" s="30">
        <v>10</v>
      </c>
      <c r="F239" s="30" t="s">
        <v>621</v>
      </c>
      <c r="G239" s="30" t="s">
        <v>648</v>
      </c>
      <c r="H239" s="30">
        <v>1.6094379999999999</v>
      </c>
      <c r="I239" s="30">
        <v>0.69314699999999996</v>
      </c>
    </row>
    <row r="240" spans="1:9">
      <c r="A240" s="30" t="s">
        <v>619</v>
      </c>
      <c r="B240" s="30" t="s">
        <v>762</v>
      </c>
      <c r="C240" s="30">
        <v>75</v>
      </c>
      <c r="D240" s="30">
        <v>3</v>
      </c>
      <c r="E240" s="30">
        <v>225</v>
      </c>
      <c r="F240" s="30" t="s">
        <v>626</v>
      </c>
      <c r="G240" s="30" t="s">
        <v>737</v>
      </c>
      <c r="H240" s="30">
        <v>4.317488</v>
      </c>
      <c r="I240" s="30">
        <v>1.0986119999999999</v>
      </c>
    </row>
    <row r="241" spans="1:9">
      <c r="A241" s="30" t="s">
        <v>619</v>
      </c>
      <c r="B241" s="30" t="s">
        <v>763</v>
      </c>
      <c r="C241" s="30">
        <v>1</v>
      </c>
      <c r="D241" s="30">
        <v>886</v>
      </c>
      <c r="E241" s="30">
        <v>832.4</v>
      </c>
      <c r="F241" s="30" t="s">
        <v>626</v>
      </c>
      <c r="G241" s="30" t="s">
        <v>627</v>
      </c>
      <c r="H241" s="30">
        <v>0</v>
      </c>
      <c r="I241" s="30">
        <v>6.7867170000000003</v>
      </c>
    </row>
    <row r="242" spans="1:9">
      <c r="A242" s="30" t="s">
        <v>619</v>
      </c>
      <c r="B242" s="30" t="s">
        <v>764</v>
      </c>
      <c r="C242" s="30">
        <v>1</v>
      </c>
      <c r="D242" s="30">
        <v>3</v>
      </c>
      <c r="E242" s="30">
        <v>3</v>
      </c>
      <c r="F242" s="30" t="s">
        <v>626</v>
      </c>
      <c r="G242" s="30" t="s">
        <v>638</v>
      </c>
      <c r="H242" s="30">
        <v>0</v>
      </c>
      <c r="I242" s="30">
        <v>1.0986119999999999</v>
      </c>
    </row>
    <row r="243" spans="1:9">
      <c r="A243" s="30" t="s">
        <v>619</v>
      </c>
      <c r="B243" s="30" t="s">
        <v>765</v>
      </c>
      <c r="C243" s="30">
        <v>1</v>
      </c>
      <c r="D243" s="30">
        <v>3</v>
      </c>
      <c r="E243" s="30">
        <v>3</v>
      </c>
      <c r="F243" s="30" t="s">
        <v>621</v>
      </c>
      <c r="G243" s="30" t="s">
        <v>622</v>
      </c>
      <c r="H243" s="30">
        <v>0</v>
      </c>
      <c r="I243" s="30">
        <v>1.0986119999999999</v>
      </c>
    </row>
    <row r="244" spans="1:9">
      <c r="A244" s="30" t="s">
        <v>619</v>
      </c>
      <c r="B244" s="30" t="s">
        <v>766</v>
      </c>
      <c r="C244" s="30">
        <v>10</v>
      </c>
      <c r="D244" s="30">
        <v>3</v>
      </c>
      <c r="E244" s="30">
        <v>30</v>
      </c>
      <c r="F244" s="30" t="s">
        <v>626</v>
      </c>
      <c r="G244" s="30" t="s">
        <v>642</v>
      </c>
      <c r="H244" s="30">
        <v>2.3025850000000001</v>
      </c>
      <c r="I244" s="30">
        <v>1.0986119999999999</v>
      </c>
    </row>
    <row r="245" spans="1:9">
      <c r="A245" s="30" t="s">
        <v>619</v>
      </c>
      <c r="B245" s="30" t="s">
        <v>767</v>
      </c>
      <c r="C245" s="30">
        <v>1</v>
      </c>
      <c r="D245" s="30">
        <v>2058</v>
      </c>
      <c r="E245" s="30">
        <v>2056</v>
      </c>
      <c r="F245" s="30" t="s">
        <v>626</v>
      </c>
      <c r="G245" s="30" t="s">
        <v>627</v>
      </c>
      <c r="H245" s="30">
        <v>0</v>
      </c>
      <c r="I245" s="30">
        <v>7.6294899999999997</v>
      </c>
    </row>
    <row r="246" spans="1:9">
      <c r="A246" s="30" t="s">
        <v>619</v>
      </c>
      <c r="B246" s="30" t="s">
        <v>768</v>
      </c>
      <c r="C246" s="30">
        <v>3</v>
      </c>
      <c r="D246" s="30">
        <v>3</v>
      </c>
      <c r="E246" s="30">
        <v>9</v>
      </c>
      <c r="F246" s="30" t="s">
        <v>621</v>
      </c>
      <c r="G246" s="30" t="s">
        <v>648</v>
      </c>
      <c r="H246" s="30">
        <v>1.0986119999999999</v>
      </c>
      <c r="I246" s="30">
        <v>1.0986119999999999</v>
      </c>
    </row>
    <row r="247" spans="1:9">
      <c r="A247" s="30" t="s">
        <v>619</v>
      </c>
      <c r="B247" s="30" t="s">
        <v>769</v>
      </c>
      <c r="C247" s="30">
        <v>3</v>
      </c>
      <c r="D247" s="30">
        <v>3</v>
      </c>
      <c r="E247" s="30">
        <v>9</v>
      </c>
      <c r="F247" s="30" t="s">
        <v>621</v>
      </c>
      <c r="G247" s="30" t="s">
        <v>648</v>
      </c>
      <c r="H247" s="30">
        <v>1.0986119999999999</v>
      </c>
      <c r="I247" s="30">
        <v>1.0986119999999999</v>
      </c>
    </row>
    <row r="248" spans="1:9">
      <c r="A248" s="30" t="s">
        <v>619</v>
      </c>
      <c r="B248" s="30" t="s">
        <v>770</v>
      </c>
      <c r="C248" s="30">
        <v>1</v>
      </c>
      <c r="D248" s="30">
        <v>4</v>
      </c>
      <c r="E248" s="30">
        <v>4</v>
      </c>
      <c r="F248" s="30" t="s">
        <v>621</v>
      </c>
      <c r="G248" s="30" t="s">
        <v>648</v>
      </c>
      <c r="H248" s="30">
        <v>0</v>
      </c>
      <c r="I248" s="30">
        <v>1.3862939999999999</v>
      </c>
    </row>
    <row r="249" spans="1:9">
      <c r="A249" s="30" t="s">
        <v>619</v>
      </c>
      <c r="B249" s="30" t="s">
        <v>771</v>
      </c>
      <c r="C249" s="30">
        <v>3</v>
      </c>
      <c r="D249" s="30">
        <v>4</v>
      </c>
      <c r="E249" s="30">
        <v>12</v>
      </c>
      <c r="F249" s="30" t="s">
        <v>621</v>
      </c>
      <c r="G249" s="30" t="s">
        <v>698</v>
      </c>
      <c r="H249" s="30">
        <v>1.0986119999999999</v>
      </c>
      <c r="I249" s="30">
        <v>1.3862939999999999</v>
      </c>
    </row>
    <row r="250" spans="1:9">
      <c r="A250" s="30" t="s">
        <v>619</v>
      </c>
      <c r="B250" s="30" t="s">
        <v>772</v>
      </c>
      <c r="C250" s="30">
        <v>1</v>
      </c>
      <c r="D250" s="30">
        <v>5</v>
      </c>
      <c r="E250" s="30">
        <v>5</v>
      </c>
      <c r="F250" s="30" t="s">
        <v>626</v>
      </c>
      <c r="G250" s="30" t="s">
        <v>638</v>
      </c>
      <c r="H250" s="30">
        <v>0</v>
      </c>
      <c r="I250" s="30">
        <v>1.6094379999999999</v>
      </c>
    </row>
    <row r="251" spans="1:9">
      <c r="A251" s="30" t="s">
        <v>619</v>
      </c>
      <c r="B251" s="30" t="s">
        <v>773</v>
      </c>
      <c r="C251" s="30">
        <v>1</v>
      </c>
      <c r="D251" s="30">
        <v>5</v>
      </c>
      <c r="E251" s="30">
        <v>5</v>
      </c>
      <c r="F251" s="30" t="s">
        <v>626</v>
      </c>
      <c r="G251" s="30" t="s">
        <v>638</v>
      </c>
      <c r="H251" s="30">
        <v>0</v>
      </c>
      <c r="I251" s="30">
        <v>1.6094379999999999</v>
      </c>
    </row>
    <row r="252" spans="1:9">
      <c r="A252" s="30" t="s">
        <v>619</v>
      </c>
      <c r="B252" s="30" t="s">
        <v>774</v>
      </c>
      <c r="C252" s="30">
        <v>1</v>
      </c>
      <c r="D252" s="30">
        <v>5</v>
      </c>
      <c r="E252" s="30">
        <v>5</v>
      </c>
      <c r="F252" s="30" t="s">
        <v>626</v>
      </c>
      <c r="G252" s="30" t="s">
        <v>638</v>
      </c>
      <c r="H252" s="30">
        <v>0</v>
      </c>
      <c r="I252" s="30">
        <v>1.6094379999999999</v>
      </c>
    </row>
    <row r="253" spans="1:9">
      <c r="A253" s="30" t="s">
        <v>619</v>
      </c>
      <c r="B253" s="30" t="s">
        <v>775</v>
      </c>
      <c r="C253" s="30">
        <v>25</v>
      </c>
      <c r="D253" s="30">
        <v>10</v>
      </c>
      <c r="E253" s="30">
        <v>250</v>
      </c>
      <c r="F253" s="30" t="s">
        <v>626</v>
      </c>
      <c r="G253" s="30" t="s">
        <v>737</v>
      </c>
      <c r="H253" s="30">
        <v>3.2188759999999998</v>
      </c>
      <c r="I253" s="30">
        <v>2.3025850000000001</v>
      </c>
    </row>
    <row r="254" spans="1:9">
      <c r="A254" s="30" t="s">
        <v>619</v>
      </c>
      <c r="B254" s="30" t="s">
        <v>776</v>
      </c>
      <c r="C254" s="30">
        <v>70</v>
      </c>
      <c r="D254" s="30">
        <v>11</v>
      </c>
      <c r="E254" s="30">
        <v>770</v>
      </c>
      <c r="F254" s="30" t="s">
        <v>621</v>
      </c>
      <c r="G254" s="30" t="s">
        <v>737</v>
      </c>
      <c r="H254" s="30">
        <v>4.2484950000000001</v>
      </c>
      <c r="I254" s="30">
        <v>2.3978950000000001</v>
      </c>
    </row>
    <row r="255" spans="1:9">
      <c r="A255" s="30" t="s">
        <v>619</v>
      </c>
      <c r="B255" s="30" t="s">
        <v>777</v>
      </c>
      <c r="C255" s="30">
        <v>1</v>
      </c>
      <c r="D255" s="30">
        <v>29</v>
      </c>
      <c r="E255" s="30">
        <v>29</v>
      </c>
      <c r="F255" s="30" t="s">
        <v>626</v>
      </c>
      <c r="G255" s="30" t="s">
        <v>627</v>
      </c>
      <c r="H255" s="30">
        <v>0</v>
      </c>
      <c r="I255" s="30">
        <v>3.3672960000000001</v>
      </c>
    </row>
    <row r="256" spans="1:9">
      <c r="A256" s="30" t="s">
        <v>619</v>
      </c>
      <c r="B256" s="30" t="s">
        <v>778</v>
      </c>
      <c r="C256" s="30">
        <v>10</v>
      </c>
      <c r="D256" s="30">
        <v>12</v>
      </c>
      <c r="E256" s="30">
        <v>60</v>
      </c>
      <c r="F256" s="30" t="s">
        <v>621</v>
      </c>
      <c r="G256" s="30" t="s">
        <v>648</v>
      </c>
      <c r="H256" s="30">
        <v>2.3025850000000001</v>
      </c>
      <c r="I256" s="30">
        <v>2.4849070000000002</v>
      </c>
    </row>
    <row r="257" spans="1:9">
      <c r="A257" s="30" t="s">
        <v>619</v>
      </c>
      <c r="B257" s="30" t="s">
        <v>779</v>
      </c>
      <c r="C257" s="30">
        <v>5</v>
      </c>
      <c r="D257" s="30">
        <v>13</v>
      </c>
      <c r="E257" s="30">
        <v>65</v>
      </c>
      <c r="F257" s="30" t="s">
        <v>621</v>
      </c>
      <c r="G257" s="30" t="s">
        <v>648</v>
      </c>
      <c r="H257" s="30">
        <v>1.6094379999999999</v>
      </c>
      <c r="I257" s="30">
        <v>2.5649489999999999</v>
      </c>
    </row>
    <row r="258" spans="1:9">
      <c r="A258" s="30" t="s">
        <v>619</v>
      </c>
      <c r="B258" s="30" t="s">
        <v>780</v>
      </c>
      <c r="C258" s="30">
        <v>5</v>
      </c>
      <c r="D258" s="30">
        <v>13</v>
      </c>
      <c r="E258" s="30">
        <v>65</v>
      </c>
      <c r="F258" s="30" t="s">
        <v>621</v>
      </c>
      <c r="G258" s="30" t="s">
        <v>642</v>
      </c>
      <c r="H258" s="30">
        <v>1.6094379999999999</v>
      </c>
      <c r="I258" s="30">
        <v>2.5649489999999999</v>
      </c>
    </row>
    <row r="259" spans="1:9">
      <c r="A259" s="30" t="s">
        <v>619</v>
      </c>
      <c r="B259" s="30" t="s">
        <v>781</v>
      </c>
      <c r="C259" s="30">
        <v>1</v>
      </c>
      <c r="D259" s="30">
        <v>32</v>
      </c>
      <c r="E259" s="30">
        <v>31.2</v>
      </c>
      <c r="F259" s="30" t="s">
        <v>626</v>
      </c>
      <c r="G259" s="30" t="s">
        <v>627</v>
      </c>
      <c r="H259" s="30">
        <v>0</v>
      </c>
      <c r="I259" s="30">
        <v>3.4657360000000001</v>
      </c>
    </row>
    <row r="260" spans="1:9">
      <c r="A260" s="30" t="s">
        <v>619</v>
      </c>
      <c r="B260" s="30" t="s">
        <v>782</v>
      </c>
      <c r="C260" s="30">
        <v>4</v>
      </c>
      <c r="D260" s="30">
        <v>6123</v>
      </c>
      <c r="E260" s="30">
        <v>24438</v>
      </c>
      <c r="F260" s="30" t="s">
        <v>621</v>
      </c>
      <c r="G260" s="30" t="s">
        <v>638</v>
      </c>
      <c r="H260" s="30">
        <v>1.3862939999999999</v>
      </c>
      <c r="I260" s="30">
        <v>8.7198069999999994</v>
      </c>
    </row>
    <row r="261" spans="1:9">
      <c r="A261" s="30" t="s">
        <v>619</v>
      </c>
      <c r="B261" s="30" t="s">
        <v>783</v>
      </c>
      <c r="C261" s="30">
        <v>1</v>
      </c>
      <c r="D261" s="30">
        <v>17</v>
      </c>
      <c r="E261" s="30">
        <v>17</v>
      </c>
      <c r="F261" s="30" t="s">
        <v>626</v>
      </c>
      <c r="G261" s="30" t="s">
        <v>638</v>
      </c>
      <c r="H261" s="30">
        <v>0</v>
      </c>
      <c r="I261" s="30">
        <v>2.8332130000000002</v>
      </c>
    </row>
    <row r="262" spans="1:9">
      <c r="A262" s="30" t="s">
        <v>619</v>
      </c>
      <c r="B262" s="30" t="s">
        <v>784</v>
      </c>
      <c r="C262" s="30">
        <v>1</v>
      </c>
      <c r="D262" s="30">
        <v>247</v>
      </c>
      <c r="E262" s="30">
        <v>242.6</v>
      </c>
      <c r="F262" s="30" t="s">
        <v>626</v>
      </c>
      <c r="G262" s="30" t="s">
        <v>627</v>
      </c>
      <c r="H262" s="30">
        <v>0</v>
      </c>
      <c r="I262" s="30">
        <v>5.5093880000000004</v>
      </c>
    </row>
    <row r="263" spans="1:9">
      <c r="A263" s="30" t="s">
        <v>619</v>
      </c>
      <c r="B263" s="30" t="s">
        <v>785</v>
      </c>
      <c r="C263" s="30">
        <v>5</v>
      </c>
      <c r="D263" s="30">
        <v>18</v>
      </c>
      <c r="E263" s="30">
        <v>90</v>
      </c>
      <c r="F263" s="30" t="s">
        <v>621</v>
      </c>
      <c r="G263" s="30" t="s">
        <v>642</v>
      </c>
      <c r="H263" s="30">
        <v>1.6094379999999999</v>
      </c>
      <c r="I263" s="30">
        <v>2.8903720000000002</v>
      </c>
    </row>
    <row r="264" spans="1:9">
      <c r="A264" s="30" t="s">
        <v>619</v>
      </c>
      <c r="B264" s="30" t="s">
        <v>786</v>
      </c>
      <c r="C264" s="30">
        <v>1</v>
      </c>
      <c r="D264" s="30">
        <v>567</v>
      </c>
      <c r="E264" s="30">
        <v>565.6</v>
      </c>
      <c r="F264" s="30" t="s">
        <v>626</v>
      </c>
      <c r="G264" s="30" t="s">
        <v>627</v>
      </c>
      <c r="H264" s="30">
        <v>0</v>
      </c>
      <c r="I264" s="30">
        <v>6.3403590000000003</v>
      </c>
    </row>
    <row r="265" spans="1:9">
      <c r="A265" s="30" t="s">
        <v>619</v>
      </c>
      <c r="B265" s="30" t="s">
        <v>787</v>
      </c>
      <c r="C265" s="30">
        <v>1</v>
      </c>
      <c r="D265" s="30">
        <v>88</v>
      </c>
      <c r="E265" s="30">
        <v>87.2</v>
      </c>
      <c r="F265" s="30" t="s">
        <v>626</v>
      </c>
      <c r="G265" s="30" t="s">
        <v>627</v>
      </c>
      <c r="H265" s="30">
        <v>0</v>
      </c>
      <c r="I265" s="30">
        <v>4.4773370000000003</v>
      </c>
    </row>
    <row r="266" spans="1:9">
      <c r="A266" s="30" t="s">
        <v>619</v>
      </c>
      <c r="B266" s="30" t="s">
        <v>788</v>
      </c>
      <c r="C266" s="30">
        <v>3</v>
      </c>
      <c r="D266" s="30">
        <v>8237</v>
      </c>
      <c r="E266" s="30">
        <v>24509.1</v>
      </c>
      <c r="F266" s="30" t="s">
        <v>621</v>
      </c>
      <c r="G266" s="30" t="s">
        <v>638</v>
      </c>
      <c r="H266" s="30">
        <v>1.0986119999999999</v>
      </c>
      <c r="I266" s="30">
        <v>9.0163910000000005</v>
      </c>
    </row>
    <row r="267" spans="1:9">
      <c r="A267" s="30" t="s">
        <v>619</v>
      </c>
      <c r="B267" s="30" t="s">
        <v>789</v>
      </c>
      <c r="C267" s="30">
        <v>3</v>
      </c>
      <c r="D267" s="30">
        <v>131</v>
      </c>
      <c r="E267" s="30">
        <v>393</v>
      </c>
      <c r="F267" s="30" t="s">
        <v>621</v>
      </c>
      <c r="G267" s="30" t="s">
        <v>648</v>
      </c>
      <c r="H267" s="30">
        <v>1.0986119999999999</v>
      </c>
      <c r="I267" s="30">
        <v>4.875197</v>
      </c>
    </row>
    <row r="268" spans="1:9">
      <c r="A268" s="30" t="s">
        <v>619</v>
      </c>
      <c r="B268" s="30" t="s">
        <v>790</v>
      </c>
      <c r="C268" s="30">
        <v>3</v>
      </c>
      <c r="D268" s="30">
        <v>62</v>
      </c>
      <c r="E268" s="30">
        <v>186</v>
      </c>
      <c r="F268" s="30" t="s">
        <v>621</v>
      </c>
      <c r="G268" s="30" t="s">
        <v>648</v>
      </c>
      <c r="H268" s="30">
        <v>1.0986119999999999</v>
      </c>
      <c r="I268" s="30">
        <v>4.1271339999999999</v>
      </c>
    </row>
    <row r="269" spans="1:9">
      <c r="A269" s="30" t="s">
        <v>619</v>
      </c>
      <c r="B269" s="30" t="s">
        <v>791</v>
      </c>
      <c r="C269" s="30">
        <v>3</v>
      </c>
      <c r="D269" s="30">
        <v>26</v>
      </c>
      <c r="E269" s="30">
        <v>78</v>
      </c>
      <c r="F269" s="30" t="s">
        <v>621</v>
      </c>
      <c r="G269" s="30" t="s">
        <v>624</v>
      </c>
      <c r="H269" s="30">
        <v>1.0986119999999999</v>
      </c>
      <c r="I269" s="30">
        <v>3.2580969999999998</v>
      </c>
    </row>
    <row r="270" spans="1:9">
      <c r="A270" s="30" t="s">
        <v>619</v>
      </c>
      <c r="B270" s="30" t="s">
        <v>792</v>
      </c>
      <c r="C270" s="30">
        <v>1</v>
      </c>
      <c r="D270" s="30">
        <v>541</v>
      </c>
      <c r="E270" s="30">
        <v>541</v>
      </c>
      <c r="F270" s="30" t="s">
        <v>621</v>
      </c>
      <c r="G270" s="30" t="s">
        <v>648</v>
      </c>
      <c r="H270" s="30">
        <v>0</v>
      </c>
      <c r="I270" s="30">
        <v>6.2934190000000001</v>
      </c>
    </row>
    <row r="271" spans="1:9">
      <c r="A271" s="30" t="s">
        <v>619</v>
      </c>
      <c r="B271" s="30" t="s">
        <v>793</v>
      </c>
      <c r="C271" s="30">
        <v>5</v>
      </c>
      <c r="D271" s="30">
        <v>28</v>
      </c>
      <c r="E271" s="30">
        <v>140</v>
      </c>
      <c r="F271" s="30" t="s">
        <v>621</v>
      </c>
      <c r="G271" s="30" t="s">
        <v>648</v>
      </c>
      <c r="H271" s="30">
        <v>1.6094379999999999</v>
      </c>
      <c r="I271" s="30">
        <v>3.3322050000000001</v>
      </c>
    </row>
    <row r="272" spans="1:9">
      <c r="A272" s="30" t="s">
        <v>619</v>
      </c>
      <c r="B272" s="30" t="s">
        <v>794</v>
      </c>
      <c r="C272" s="30">
        <v>5</v>
      </c>
      <c r="D272" s="30">
        <v>124</v>
      </c>
      <c r="E272" s="30">
        <v>620</v>
      </c>
      <c r="F272" s="30" t="s">
        <v>621</v>
      </c>
      <c r="G272" s="30" t="s">
        <v>648</v>
      </c>
      <c r="H272" s="30">
        <v>1.6094379999999999</v>
      </c>
      <c r="I272" s="30">
        <v>4.8202819999999997</v>
      </c>
    </row>
    <row r="273" spans="1:9">
      <c r="A273" s="30" t="s">
        <v>619</v>
      </c>
      <c r="B273" s="30" t="s">
        <v>795</v>
      </c>
      <c r="C273" s="30">
        <v>6</v>
      </c>
      <c r="D273" s="30">
        <v>159</v>
      </c>
      <c r="E273" s="30">
        <v>954</v>
      </c>
      <c r="F273" s="30" t="s">
        <v>621</v>
      </c>
      <c r="G273" s="30" t="s">
        <v>648</v>
      </c>
      <c r="H273" s="30">
        <v>1.7917590000000001</v>
      </c>
      <c r="I273" s="30">
        <v>5.0689039999999999</v>
      </c>
    </row>
    <row r="274" spans="1:9">
      <c r="A274" s="30" t="s">
        <v>619</v>
      </c>
      <c r="B274" s="30" t="s">
        <v>796</v>
      </c>
      <c r="C274" s="30">
        <v>6</v>
      </c>
      <c r="D274" s="30">
        <v>732</v>
      </c>
      <c r="E274" s="30">
        <v>4392</v>
      </c>
      <c r="F274" s="30" t="s">
        <v>621</v>
      </c>
      <c r="G274" s="30" t="s">
        <v>648</v>
      </c>
      <c r="H274" s="30">
        <v>1.7917590000000001</v>
      </c>
      <c r="I274" s="30">
        <v>6.5957809999999997</v>
      </c>
    </row>
    <row r="275" spans="1:9">
      <c r="A275" s="30" t="s">
        <v>619</v>
      </c>
      <c r="B275" s="30" t="s">
        <v>797</v>
      </c>
      <c r="C275" s="30">
        <v>4</v>
      </c>
      <c r="D275" s="30">
        <v>11713</v>
      </c>
      <c r="E275" s="30">
        <v>46852</v>
      </c>
      <c r="F275" s="30" t="s">
        <v>621</v>
      </c>
      <c r="G275" s="30" t="s">
        <v>648</v>
      </c>
      <c r="H275" s="30">
        <v>1.3862939999999999</v>
      </c>
      <c r="I275" s="30">
        <v>9.3684550000000009</v>
      </c>
    </row>
    <row r="276" spans="1:9">
      <c r="A276" s="30" t="s">
        <v>619</v>
      </c>
      <c r="B276" s="30" t="s">
        <v>798</v>
      </c>
      <c r="C276" s="30">
        <v>30</v>
      </c>
      <c r="D276" s="30">
        <v>51</v>
      </c>
      <c r="E276" s="30">
        <v>1530</v>
      </c>
      <c r="F276" s="30" t="s">
        <v>621</v>
      </c>
      <c r="G276" s="30" t="s">
        <v>737</v>
      </c>
      <c r="H276" s="30">
        <v>3.4011969999999998</v>
      </c>
      <c r="I276" s="30">
        <v>3.931826</v>
      </c>
    </row>
    <row r="277" spans="1:9">
      <c r="A277" s="30" t="s">
        <v>619</v>
      </c>
      <c r="B277" s="30" t="s">
        <v>799</v>
      </c>
      <c r="C277" s="30">
        <v>1</v>
      </c>
      <c r="D277" s="30">
        <v>281</v>
      </c>
      <c r="E277" s="30">
        <v>281</v>
      </c>
      <c r="F277" s="30" t="s">
        <v>626</v>
      </c>
      <c r="G277" s="30" t="s">
        <v>737</v>
      </c>
      <c r="H277" s="30">
        <v>0</v>
      </c>
      <c r="I277" s="30">
        <v>5.6383549999999998</v>
      </c>
    </row>
    <row r="278" spans="1:9">
      <c r="A278" s="30" t="s">
        <v>619</v>
      </c>
      <c r="B278" s="30" t="s">
        <v>800</v>
      </c>
      <c r="C278" s="30">
        <v>10</v>
      </c>
      <c r="D278" s="30">
        <v>117</v>
      </c>
      <c r="E278" s="30">
        <v>1170</v>
      </c>
      <c r="F278" s="30" t="s">
        <v>626</v>
      </c>
      <c r="G278" s="30" t="s">
        <v>737</v>
      </c>
      <c r="H278" s="30">
        <v>2.3025850000000001</v>
      </c>
      <c r="I278" s="30">
        <v>4.7621739999999999</v>
      </c>
    </row>
    <row r="279" spans="1:9">
      <c r="A279" s="30" t="s">
        <v>619</v>
      </c>
      <c r="B279" s="30" t="s">
        <v>801</v>
      </c>
      <c r="C279" s="30">
        <v>12</v>
      </c>
      <c r="D279" s="30">
        <v>76</v>
      </c>
      <c r="E279" s="30">
        <v>912</v>
      </c>
      <c r="F279" s="30" t="s">
        <v>626</v>
      </c>
      <c r="G279" s="30" t="s">
        <v>737</v>
      </c>
      <c r="H279" s="30">
        <v>2.4849070000000002</v>
      </c>
      <c r="I279" s="30">
        <v>4.3307330000000004</v>
      </c>
    </row>
    <row r="280" spans="1:9">
      <c r="A280" s="30" t="s">
        <v>619</v>
      </c>
      <c r="B280" s="30" t="s">
        <v>802</v>
      </c>
      <c r="C280" s="30">
        <v>15</v>
      </c>
      <c r="D280" s="30">
        <v>67</v>
      </c>
      <c r="E280" s="30">
        <v>1005</v>
      </c>
      <c r="F280" s="30" t="s">
        <v>626</v>
      </c>
      <c r="G280" s="30" t="s">
        <v>737</v>
      </c>
      <c r="H280" s="30">
        <v>2.7080500000000001</v>
      </c>
      <c r="I280" s="30">
        <v>4.2046929999999998</v>
      </c>
    </row>
    <row r="281" spans="1:9">
      <c r="A281" s="30" t="s">
        <v>619</v>
      </c>
      <c r="B281" s="30" t="s">
        <v>803</v>
      </c>
      <c r="C281" s="30">
        <v>20</v>
      </c>
      <c r="D281" s="30">
        <v>244</v>
      </c>
      <c r="E281" s="30">
        <v>4880</v>
      </c>
      <c r="F281" s="30" t="s">
        <v>626</v>
      </c>
      <c r="G281" s="30" t="s">
        <v>737</v>
      </c>
      <c r="H281" s="30">
        <v>2.9957319999999998</v>
      </c>
      <c r="I281" s="30">
        <v>5.4971680000000003</v>
      </c>
    </row>
    <row r="282" spans="1:9">
      <c r="A282" s="30" t="s">
        <v>619</v>
      </c>
      <c r="B282" s="30" t="s">
        <v>804</v>
      </c>
      <c r="C282" s="30">
        <v>4</v>
      </c>
      <c r="D282" s="30">
        <v>100</v>
      </c>
      <c r="E282" s="30">
        <v>400</v>
      </c>
      <c r="F282" s="30" t="s">
        <v>626</v>
      </c>
      <c r="G282" s="30" t="s">
        <v>737</v>
      </c>
      <c r="H282" s="30">
        <v>1.3862939999999999</v>
      </c>
      <c r="I282" s="30">
        <v>4.6051700000000002</v>
      </c>
    </row>
    <row r="283" spans="1:9">
      <c r="A283" s="30" t="s">
        <v>619</v>
      </c>
      <c r="B283" s="30" t="s">
        <v>805</v>
      </c>
      <c r="C283" s="30">
        <v>6</v>
      </c>
      <c r="D283" s="30">
        <v>193</v>
      </c>
      <c r="E283" s="30">
        <v>1158</v>
      </c>
      <c r="F283" s="30" t="s">
        <v>626</v>
      </c>
      <c r="G283" s="30" t="s">
        <v>737</v>
      </c>
      <c r="H283" s="30">
        <v>1.7917590000000001</v>
      </c>
      <c r="I283" s="30">
        <v>5.2626900000000001</v>
      </c>
    </row>
    <row r="284" spans="1:9">
      <c r="A284" s="30" t="s">
        <v>619</v>
      </c>
      <c r="B284" s="30" t="s">
        <v>806</v>
      </c>
      <c r="C284" s="30">
        <v>8</v>
      </c>
      <c r="D284" s="30">
        <v>143</v>
      </c>
      <c r="E284" s="30">
        <v>1144</v>
      </c>
      <c r="F284" s="30" t="s">
        <v>626</v>
      </c>
      <c r="G284" s="30" t="s">
        <v>737</v>
      </c>
      <c r="H284" s="30">
        <v>2.0794419999999998</v>
      </c>
      <c r="I284" s="30">
        <v>4.9628449999999997</v>
      </c>
    </row>
    <row r="285" spans="1:9">
      <c r="A285" s="30" t="s">
        <v>619</v>
      </c>
      <c r="B285" s="30" t="s">
        <v>807</v>
      </c>
      <c r="C285" s="30">
        <v>14</v>
      </c>
      <c r="D285" s="30">
        <v>584</v>
      </c>
      <c r="E285" s="30">
        <v>8176</v>
      </c>
      <c r="F285" s="30" t="s">
        <v>621</v>
      </c>
      <c r="G285" s="30" t="s">
        <v>737</v>
      </c>
      <c r="H285" s="30">
        <v>2.6390570000000002</v>
      </c>
      <c r="I285" s="30">
        <v>6.3699009999999996</v>
      </c>
    </row>
    <row r="286" spans="1:9">
      <c r="A286" s="30" t="s">
        <v>619</v>
      </c>
      <c r="B286" s="30" t="s">
        <v>808</v>
      </c>
      <c r="C286" s="30">
        <v>6</v>
      </c>
      <c r="D286" s="30">
        <v>5274</v>
      </c>
      <c r="E286" s="30">
        <v>31644</v>
      </c>
      <c r="F286" s="30" t="s">
        <v>621</v>
      </c>
      <c r="G286" s="30" t="s">
        <v>737</v>
      </c>
      <c r="H286" s="30">
        <v>1.7917590000000001</v>
      </c>
      <c r="I286" s="30">
        <v>8.5705439999999999</v>
      </c>
    </row>
    <row r="287" spans="1:9">
      <c r="A287" s="30" t="s">
        <v>619</v>
      </c>
      <c r="B287" s="30" t="s">
        <v>809</v>
      </c>
      <c r="C287" s="30">
        <v>3</v>
      </c>
      <c r="D287" s="30">
        <v>1002</v>
      </c>
      <c r="E287" s="30">
        <v>3004.5</v>
      </c>
      <c r="F287" s="30" t="s">
        <v>621</v>
      </c>
      <c r="G287" s="30" t="s">
        <v>624</v>
      </c>
      <c r="H287" s="30">
        <v>1.0986119999999999</v>
      </c>
      <c r="I287" s="30">
        <v>6.9097530000000003</v>
      </c>
    </row>
    <row r="288" spans="1:9">
      <c r="A288" s="30" t="s">
        <v>619</v>
      </c>
      <c r="B288" s="30" t="s">
        <v>810</v>
      </c>
      <c r="C288" s="30">
        <v>3</v>
      </c>
      <c r="D288" s="30">
        <v>730</v>
      </c>
      <c r="E288" s="30">
        <v>2187.9</v>
      </c>
      <c r="F288" s="30" t="s">
        <v>621</v>
      </c>
      <c r="G288" s="30" t="s">
        <v>624</v>
      </c>
      <c r="H288" s="30">
        <v>1.0986119999999999</v>
      </c>
      <c r="I288" s="30">
        <v>6.593045</v>
      </c>
    </row>
    <row r="289" spans="1:9">
      <c r="A289" s="30" t="s">
        <v>619</v>
      </c>
      <c r="B289" s="30" t="s">
        <v>811</v>
      </c>
      <c r="C289" s="30">
        <v>10</v>
      </c>
      <c r="D289" s="30">
        <v>39</v>
      </c>
      <c r="E289" s="30">
        <v>390</v>
      </c>
      <c r="F289" s="30" t="s">
        <v>626</v>
      </c>
      <c r="G289" s="30" t="s">
        <v>812</v>
      </c>
      <c r="H289" s="30">
        <v>2.3025850000000001</v>
      </c>
      <c r="I289" s="30">
        <v>3.6635620000000002</v>
      </c>
    </row>
    <row r="290" spans="1:9">
      <c r="A290" s="30" t="s">
        <v>619</v>
      </c>
      <c r="B290" s="30" t="s">
        <v>813</v>
      </c>
      <c r="C290" s="30">
        <v>5</v>
      </c>
      <c r="D290" s="30">
        <v>141</v>
      </c>
      <c r="E290" s="30">
        <v>705</v>
      </c>
      <c r="F290" s="30" t="s">
        <v>626</v>
      </c>
      <c r="G290" s="30" t="s">
        <v>812</v>
      </c>
      <c r="H290" s="30">
        <v>1.6094379999999999</v>
      </c>
      <c r="I290" s="30">
        <v>4.94876</v>
      </c>
    </row>
    <row r="291" spans="1:9">
      <c r="A291" s="30" t="s">
        <v>619</v>
      </c>
      <c r="B291" s="30" t="s">
        <v>814</v>
      </c>
      <c r="C291" s="30">
        <v>5</v>
      </c>
      <c r="D291" s="30">
        <v>73</v>
      </c>
      <c r="E291" s="30">
        <v>365</v>
      </c>
      <c r="F291" s="30" t="s">
        <v>621</v>
      </c>
      <c r="G291" s="30" t="s">
        <v>648</v>
      </c>
      <c r="H291" s="30">
        <v>1.6094379999999999</v>
      </c>
      <c r="I291" s="30">
        <v>4.2904590000000002</v>
      </c>
    </row>
    <row r="292" spans="1:9">
      <c r="A292" s="30" t="s">
        <v>619</v>
      </c>
      <c r="B292" s="30" t="s">
        <v>815</v>
      </c>
      <c r="C292" s="30">
        <v>3</v>
      </c>
      <c r="D292" s="30">
        <v>2878</v>
      </c>
      <c r="E292" s="30">
        <v>8633.5499999999993</v>
      </c>
      <c r="F292" s="30" t="s">
        <v>621</v>
      </c>
      <c r="G292" s="30" t="s">
        <v>638</v>
      </c>
      <c r="H292" s="30">
        <v>1.0986119999999999</v>
      </c>
      <c r="I292" s="30">
        <v>7.9648510000000003</v>
      </c>
    </row>
    <row r="293" spans="1:9">
      <c r="A293" s="30" t="s">
        <v>619</v>
      </c>
      <c r="B293" s="30" t="s">
        <v>816</v>
      </c>
      <c r="C293" s="30">
        <v>2</v>
      </c>
      <c r="D293" s="30">
        <v>3385</v>
      </c>
      <c r="E293" s="30">
        <v>6769.7</v>
      </c>
      <c r="F293" s="30" t="s">
        <v>621</v>
      </c>
      <c r="G293" s="30" t="s">
        <v>638</v>
      </c>
      <c r="H293" s="30">
        <v>0.69314699999999996</v>
      </c>
      <c r="I293" s="30">
        <v>8.1271090000000008</v>
      </c>
    </row>
    <row r="294" spans="1:9">
      <c r="A294" s="30" t="s">
        <v>619</v>
      </c>
      <c r="B294" s="30" t="s">
        <v>817</v>
      </c>
      <c r="C294" s="30">
        <v>3</v>
      </c>
      <c r="D294" s="30">
        <v>29</v>
      </c>
      <c r="E294" s="30">
        <v>87</v>
      </c>
      <c r="F294" s="30" t="s">
        <v>621</v>
      </c>
      <c r="G294" s="30" t="s">
        <v>638</v>
      </c>
      <c r="H294" s="30">
        <v>1.0986119999999999</v>
      </c>
      <c r="I294" s="30">
        <v>3.3672960000000001</v>
      </c>
    </row>
    <row r="295" spans="1:9">
      <c r="A295" s="30" t="s">
        <v>619</v>
      </c>
      <c r="B295" s="30" t="s">
        <v>818</v>
      </c>
      <c r="C295" s="30">
        <v>2</v>
      </c>
      <c r="D295" s="30">
        <v>31</v>
      </c>
      <c r="E295" s="30">
        <v>62</v>
      </c>
      <c r="F295" s="30" t="s">
        <v>621</v>
      </c>
      <c r="G295" s="30" t="s">
        <v>638</v>
      </c>
      <c r="H295" s="30">
        <v>0.69314699999999996</v>
      </c>
      <c r="I295" s="30">
        <v>3.4339870000000001</v>
      </c>
    </row>
    <row r="296" spans="1:9">
      <c r="A296" s="30" t="s">
        <v>619</v>
      </c>
      <c r="B296" s="30" t="s">
        <v>819</v>
      </c>
      <c r="C296" s="30">
        <v>3</v>
      </c>
      <c r="D296" s="30">
        <v>100</v>
      </c>
      <c r="E296" s="30">
        <v>300</v>
      </c>
      <c r="F296" s="30" t="s">
        <v>621</v>
      </c>
      <c r="G296" s="30" t="s">
        <v>648</v>
      </c>
      <c r="H296" s="30">
        <v>1.0986119999999999</v>
      </c>
      <c r="I296" s="30">
        <v>4.6051700000000002</v>
      </c>
    </row>
    <row r="297" spans="1:9">
      <c r="A297" s="30" t="s">
        <v>619</v>
      </c>
      <c r="B297" s="30" t="s">
        <v>820</v>
      </c>
      <c r="C297" s="30">
        <v>5</v>
      </c>
      <c r="D297" s="30">
        <v>585</v>
      </c>
      <c r="E297" s="30">
        <v>2925</v>
      </c>
      <c r="F297" s="30" t="s">
        <v>621</v>
      </c>
      <c r="G297" s="30" t="s">
        <v>648</v>
      </c>
      <c r="H297" s="30">
        <v>1.6094379999999999</v>
      </c>
      <c r="I297" s="30">
        <v>6.3716119999999998</v>
      </c>
    </row>
    <row r="298" spans="1:9">
      <c r="A298" s="30" t="s">
        <v>619</v>
      </c>
      <c r="B298" s="30" t="s">
        <v>821</v>
      </c>
      <c r="C298" s="30">
        <v>0.25</v>
      </c>
      <c r="D298" s="30">
        <v>793</v>
      </c>
      <c r="E298" s="30">
        <v>198.25</v>
      </c>
      <c r="F298" s="30" t="s">
        <v>626</v>
      </c>
      <c r="G298" s="30" t="s">
        <v>663</v>
      </c>
      <c r="H298" s="30">
        <v>-1.38629</v>
      </c>
      <c r="I298" s="30">
        <v>6.6758230000000003</v>
      </c>
    </row>
    <row r="299" spans="1:9">
      <c r="A299" s="30" t="s">
        <v>619</v>
      </c>
      <c r="B299" s="30" t="s">
        <v>822</v>
      </c>
      <c r="C299" s="30">
        <v>1.5</v>
      </c>
      <c r="D299" s="30">
        <v>161</v>
      </c>
      <c r="E299" s="30">
        <v>187.5</v>
      </c>
      <c r="F299" s="30" t="s">
        <v>626</v>
      </c>
      <c r="G299" s="30" t="s">
        <v>663</v>
      </c>
      <c r="H299" s="30">
        <v>0.40546500000000002</v>
      </c>
      <c r="I299" s="30">
        <v>5.081404</v>
      </c>
    </row>
    <row r="300" spans="1:9">
      <c r="A300" s="30" t="s">
        <v>619</v>
      </c>
      <c r="B300" s="30" t="s">
        <v>823</v>
      </c>
      <c r="C300" s="30">
        <v>1</v>
      </c>
      <c r="D300" s="30">
        <v>63</v>
      </c>
      <c r="E300" s="30">
        <v>48.5</v>
      </c>
      <c r="F300" s="30" t="s">
        <v>626</v>
      </c>
      <c r="G300" s="30" t="s">
        <v>663</v>
      </c>
      <c r="H300" s="30">
        <v>0</v>
      </c>
      <c r="I300" s="30">
        <v>4.143135</v>
      </c>
    </row>
    <row r="301" spans="1:9">
      <c r="A301" s="30" t="s">
        <v>619</v>
      </c>
      <c r="B301" s="30" t="s">
        <v>824</v>
      </c>
      <c r="C301" s="30">
        <v>2</v>
      </c>
      <c r="D301" s="30">
        <v>73</v>
      </c>
      <c r="E301" s="30">
        <v>145</v>
      </c>
      <c r="F301" s="30" t="s">
        <v>626</v>
      </c>
      <c r="G301" s="30" t="s">
        <v>663</v>
      </c>
      <c r="H301" s="30">
        <v>0.69314699999999996</v>
      </c>
      <c r="I301" s="30">
        <v>4.2904590000000002</v>
      </c>
    </row>
    <row r="302" spans="1:9">
      <c r="A302" s="30" t="s">
        <v>619</v>
      </c>
      <c r="B302" s="30" t="s">
        <v>825</v>
      </c>
      <c r="C302" s="30">
        <v>2</v>
      </c>
      <c r="D302" s="30">
        <v>92</v>
      </c>
      <c r="E302" s="30">
        <v>49</v>
      </c>
      <c r="F302" s="30" t="s">
        <v>626</v>
      </c>
      <c r="G302" s="30" t="s">
        <v>663</v>
      </c>
      <c r="H302" s="30">
        <v>0.69314699999999996</v>
      </c>
      <c r="I302" s="30">
        <v>4.5217890000000001</v>
      </c>
    </row>
    <row r="303" spans="1:9">
      <c r="A303" s="30" t="s">
        <v>619</v>
      </c>
      <c r="B303" s="30" t="s">
        <v>826</v>
      </c>
      <c r="C303" s="30">
        <v>0.5</v>
      </c>
      <c r="D303" s="30">
        <v>83</v>
      </c>
      <c r="E303" s="30">
        <v>36.75</v>
      </c>
      <c r="F303" s="30" t="s">
        <v>626</v>
      </c>
      <c r="G303" s="30" t="s">
        <v>663</v>
      </c>
      <c r="H303" s="30">
        <v>-0.69315000000000004</v>
      </c>
      <c r="I303" s="30">
        <v>4.4188409999999996</v>
      </c>
    </row>
    <row r="304" spans="1:9">
      <c r="A304" s="30" t="s">
        <v>619</v>
      </c>
      <c r="B304" s="30" t="s">
        <v>827</v>
      </c>
      <c r="C304" s="30">
        <v>2</v>
      </c>
      <c r="D304" s="30">
        <v>358</v>
      </c>
      <c r="E304" s="30">
        <v>567</v>
      </c>
      <c r="F304" s="30" t="s">
        <v>626</v>
      </c>
      <c r="G304" s="30" t="s">
        <v>663</v>
      </c>
      <c r="H304" s="30">
        <v>0.69314699999999996</v>
      </c>
      <c r="I304" s="30">
        <v>5.8805329999999998</v>
      </c>
    </row>
    <row r="305" spans="1:9">
      <c r="A305" s="30" t="s">
        <v>619</v>
      </c>
      <c r="B305" s="30" t="s">
        <v>828</v>
      </c>
      <c r="C305" s="30">
        <v>2.5</v>
      </c>
      <c r="D305" s="30">
        <v>164</v>
      </c>
      <c r="E305" s="30">
        <v>338.75</v>
      </c>
      <c r="F305" s="30" t="s">
        <v>626</v>
      </c>
      <c r="G305" s="30" t="s">
        <v>663</v>
      </c>
      <c r="H305" s="30">
        <v>0.91629099999999997</v>
      </c>
      <c r="I305" s="30">
        <v>5.0998659999999996</v>
      </c>
    </row>
    <row r="306" spans="1:9">
      <c r="A306" s="30" t="s">
        <v>619</v>
      </c>
      <c r="B306" s="30" t="s">
        <v>829</v>
      </c>
      <c r="C306" s="30">
        <v>2</v>
      </c>
      <c r="D306" s="30">
        <v>78</v>
      </c>
      <c r="E306" s="30">
        <v>128</v>
      </c>
      <c r="F306" s="30" t="s">
        <v>626</v>
      </c>
      <c r="G306" s="30" t="s">
        <v>663</v>
      </c>
      <c r="H306" s="30">
        <v>0.69314699999999996</v>
      </c>
      <c r="I306" s="30">
        <v>4.3567090000000004</v>
      </c>
    </row>
    <row r="307" spans="1:9">
      <c r="A307" s="30" t="s">
        <v>619</v>
      </c>
      <c r="B307" s="30" t="s">
        <v>830</v>
      </c>
      <c r="C307" s="30">
        <v>1</v>
      </c>
      <c r="D307" s="30">
        <v>87</v>
      </c>
      <c r="E307" s="30">
        <v>85</v>
      </c>
      <c r="F307" s="30" t="s">
        <v>626</v>
      </c>
      <c r="G307" s="30" t="s">
        <v>663</v>
      </c>
      <c r="H307" s="30">
        <v>0</v>
      </c>
      <c r="I307" s="30">
        <v>4.4659079999999998</v>
      </c>
    </row>
    <row r="308" spans="1:9">
      <c r="A308" s="30" t="s">
        <v>619</v>
      </c>
      <c r="B308" s="30" t="s">
        <v>831</v>
      </c>
      <c r="C308" s="30">
        <v>2</v>
      </c>
      <c r="D308" s="30">
        <v>221</v>
      </c>
      <c r="E308" s="30">
        <v>78</v>
      </c>
      <c r="F308" s="30" t="s">
        <v>626</v>
      </c>
      <c r="G308" s="30" t="s">
        <v>663</v>
      </c>
      <c r="H308" s="30">
        <v>0.69314699999999996</v>
      </c>
      <c r="I308" s="30">
        <v>5.3981630000000003</v>
      </c>
    </row>
    <row r="309" spans="1:9">
      <c r="A309" s="30" t="s">
        <v>619</v>
      </c>
      <c r="B309" s="30" t="s">
        <v>832</v>
      </c>
      <c r="C309" s="30">
        <v>2.5</v>
      </c>
      <c r="D309" s="30">
        <v>111</v>
      </c>
      <c r="E309" s="30">
        <v>245</v>
      </c>
      <c r="F309" s="30" t="s">
        <v>626</v>
      </c>
      <c r="G309" s="30" t="s">
        <v>663</v>
      </c>
      <c r="H309" s="30">
        <v>0.91629099999999997</v>
      </c>
      <c r="I309" s="30">
        <v>4.70953</v>
      </c>
    </row>
    <row r="310" spans="1:9">
      <c r="A310" s="30" t="s">
        <v>619</v>
      </c>
      <c r="B310" s="30" t="s">
        <v>833</v>
      </c>
      <c r="C310" s="30">
        <v>2</v>
      </c>
      <c r="D310" s="30">
        <v>208</v>
      </c>
      <c r="E310" s="30">
        <v>243</v>
      </c>
      <c r="F310" s="30" t="s">
        <v>626</v>
      </c>
      <c r="G310" s="30" t="s">
        <v>663</v>
      </c>
      <c r="H310" s="30">
        <v>0.69314699999999996</v>
      </c>
      <c r="I310" s="30">
        <v>5.3375380000000003</v>
      </c>
    </row>
    <row r="311" spans="1:9">
      <c r="A311" s="30" t="s">
        <v>619</v>
      </c>
      <c r="B311" s="30" t="s">
        <v>834</v>
      </c>
      <c r="C311" s="30">
        <v>1.5</v>
      </c>
      <c r="D311" s="30">
        <v>60</v>
      </c>
      <c r="E311" s="30">
        <v>87</v>
      </c>
      <c r="F311" s="30" t="s">
        <v>626</v>
      </c>
      <c r="G311" s="30" t="s">
        <v>663</v>
      </c>
      <c r="H311" s="30">
        <v>0.40546500000000002</v>
      </c>
      <c r="I311" s="30">
        <v>4.0943449999999997</v>
      </c>
    </row>
    <row r="312" spans="1:9">
      <c r="A312" s="30" t="s">
        <v>619</v>
      </c>
      <c r="B312" s="30" t="s">
        <v>835</v>
      </c>
      <c r="C312" s="30">
        <v>1.5</v>
      </c>
      <c r="D312" s="30">
        <v>141</v>
      </c>
      <c r="E312" s="30">
        <v>183.75</v>
      </c>
      <c r="F312" s="30" t="s">
        <v>626</v>
      </c>
      <c r="G312" s="30" t="s">
        <v>663</v>
      </c>
      <c r="H312" s="30">
        <v>0.40546500000000002</v>
      </c>
      <c r="I312" s="30">
        <v>4.94876</v>
      </c>
    </row>
    <row r="313" spans="1:9">
      <c r="A313" s="30" t="s">
        <v>619</v>
      </c>
      <c r="B313" s="30" t="s">
        <v>836</v>
      </c>
      <c r="C313" s="30">
        <v>3</v>
      </c>
      <c r="D313" s="30">
        <v>116</v>
      </c>
      <c r="E313" s="30">
        <v>348</v>
      </c>
      <c r="F313" s="30" t="s">
        <v>621</v>
      </c>
      <c r="G313" s="30" t="s">
        <v>624</v>
      </c>
      <c r="H313" s="30">
        <v>1.0986119999999999</v>
      </c>
      <c r="I313" s="30">
        <v>4.75359</v>
      </c>
    </row>
    <row r="314" spans="1:9">
      <c r="A314" s="30" t="s">
        <v>619</v>
      </c>
      <c r="B314" s="30" t="s">
        <v>837</v>
      </c>
      <c r="C314" s="30">
        <v>1</v>
      </c>
      <c r="D314" s="30">
        <v>85</v>
      </c>
      <c r="E314" s="30">
        <v>82</v>
      </c>
      <c r="F314" s="30" t="s">
        <v>626</v>
      </c>
      <c r="G314" s="30" t="s">
        <v>663</v>
      </c>
      <c r="H314" s="30">
        <v>0</v>
      </c>
      <c r="I314" s="30">
        <v>4.4426509999999997</v>
      </c>
    </row>
    <row r="315" spans="1:9">
      <c r="A315" s="30" t="s">
        <v>619</v>
      </c>
      <c r="B315" s="30" t="s">
        <v>838</v>
      </c>
      <c r="C315" s="30">
        <v>1</v>
      </c>
      <c r="D315" s="30">
        <v>72</v>
      </c>
      <c r="E315" s="30">
        <v>66.5</v>
      </c>
      <c r="F315" s="30" t="s">
        <v>626</v>
      </c>
      <c r="G315" s="30" t="s">
        <v>663</v>
      </c>
      <c r="H315" s="30">
        <v>0</v>
      </c>
      <c r="I315" s="30">
        <v>4.2766659999999996</v>
      </c>
    </row>
    <row r="316" spans="1:9">
      <c r="A316" s="30" t="s">
        <v>619</v>
      </c>
      <c r="B316" s="30" t="s">
        <v>839</v>
      </c>
      <c r="C316" s="30">
        <v>2</v>
      </c>
      <c r="D316" s="30">
        <v>99</v>
      </c>
      <c r="E316" s="30">
        <v>153</v>
      </c>
      <c r="F316" s="30" t="s">
        <v>626</v>
      </c>
      <c r="G316" s="30" t="s">
        <v>663</v>
      </c>
      <c r="H316" s="30">
        <v>0.69314699999999996</v>
      </c>
      <c r="I316" s="30">
        <v>4.5951199999999996</v>
      </c>
    </row>
    <row r="317" spans="1:9">
      <c r="A317" s="30" t="s">
        <v>619</v>
      </c>
      <c r="B317" s="30" t="s">
        <v>840</v>
      </c>
      <c r="C317" s="30">
        <v>2</v>
      </c>
      <c r="D317" s="30">
        <v>12</v>
      </c>
      <c r="E317" s="30">
        <v>23</v>
      </c>
      <c r="F317" s="30" t="s">
        <v>626</v>
      </c>
      <c r="G317" s="30" t="s">
        <v>663</v>
      </c>
      <c r="H317" s="30">
        <v>0.69314699999999996</v>
      </c>
      <c r="I317" s="30">
        <v>2.4849070000000002</v>
      </c>
    </row>
    <row r="318" spans="1:9">
      <c r="A318" s="30" t="s">
        <v>619</v>
      </c>
      <c r="B318" s="30" t="s">
        <v>841</v>
      </c>
      <c r="C318" s="30">
        <v>5</v>
      </c>
      <c r="D318" s="30">
        <v>209</v>
      </c>
      <c r="E318" s="30">
        <v>1045</v>
      </c>
      <c r="F318" s="30" t="s">
        <v>626</v>
      </c>
      <c r="G318" s="30" t="s">
        <v>663</v>
      </c>
      <c r="H318" s="30">
        <v>1.6094379999999999</v>
      </c>
      <c r="I318" s="30">
        <v>5.3423340000000001</v>
      </c>
    </row>
    <row r="319" spans="1:9">
      <c r="A319" s="30" t="s">
        <v>619</v>
      </c>
      <c r="B319" s="30" t="s">
        <v>842</v>
      </c>
      <c r="C319" s="30">
        <v>5</v>
      </c>
      <c r="D319" s="30">
        <v>8031</v>
      </c>
      <c r="E319" s="30">
        <v>40048.5</v>
      </c>
      <c r="F319" s="30" t="s">
        <v>621</v>
      </c>
      <c r="G319" s="30" t="s">
        <v>638</v>
      </c>
      <c r="H319" s="30">
        <v>1.6094379999999999</v>
      </c>
      <c r="I319" s="30">
        <v>8.9910639999999997</v>
      </c>
    </row>
    <row r="320" spans="1:9">
      <c r="A320" s="30" t="s">
        <v>619</v>
      </c>
      <c r="B320" s="30" t="s">
        <v>843</v>
      </c>
      <c r="C320" s="30">
        <v>5</v>
      </c>
      <c r="D320" s="30">
        <v>35</v>
      </c>
      <c r="E320" s="30">
        <v>164</v>
      </c>
      <c r="F320" s="30" t="s">
        <v>621</v>
      </c>
      <c r="G320" s="30" t="s">
        <v>648</v>
      </c>
      <c r="H320" s="30">
        <v>1.6094379999999999</v>
      </c>
      <c r="I320" s="30">
        <v>3.555348</v>
      </c>
    </row>
    <row r="321" spans="1:9">
      <c r="A321" s="30" t="s">
        <v>619</v>
      </c>
      <c r="B321" s="30" t="s">
        <v>844</v>
      </c>
      <c r="C321" s="30">
        <v>4</v>
      </c>
      <c r="D321" s="30">
        <v>12695</v>
      </c>
      <c r="E321" s="30">
        <v>50486.400000000001</v>
      </c>
      <c r="F321" s="30" t="s">
        <v>621</v>
      </c>
      <c r="G321" s="30" t="s">
        <v>638</v>
      </c>
      <c r="H321" s="30">
        <v>1.3862939999999999</v>
      </c>
      <c r="I321" s="30">
        <v>9.4489629999999991</v>
      </c>
    </row>
    <row r="322" spans="1:9">
      <c r="A322" s="30" t="s">
        <v>619</v>
      </c>
      <c r="B322" s="30" t="s">
        <v>845</v>
      </c>
      <c r="C322" s="30">
        <v>2</v>
      </c>
      <c r="D322" s="30">
        <v>727</v>
      </c>
      <c r="E322" s="30">
        <v>1454</v>
      </c>
      <c r="F322" s="30" t="s">
        <v>621</v>
      </c>
      <c r="G322" s="30" t="s">
        <v>648</v>
      </c>
      <c r="H322" s="30">
        <v>0.69314699999999996</v>
      </c>
      <c r="I322" s="30">
        <v>6.5889259999999998</v>
      </c>
    </row>
    <row r="323" spans="1:9">
      <c r="A323" s="30" t="s">
        <v>619</v>
      </c>
      <c r="B323" s="30" t="s">
        <v>846</v>
      </c>
      <c r="C323" s="30">
        <v>2</v>
      </c>
      <c r="D323" s="30">
        <v>1212</v>
      </c>
      <c r="E323" s="30">
        <v>2424</v>
      </c>
      <c r="F323" s="30" t="s">
        <v>621</v>
      </c>
      <c r="G323" s="30" t="s">
        <v>648</v>
      </c>
      <c r="H323" s="30">
        <v>0.69314699999999996</v>
      </c>
      <c r="I323" s="30">
        <v>7.1000269999999999</v>
      </c>
    </row>
    <row r="324" spans="1:9">
      <c r="A324" s="30" t="s">
        <v>619</v>
      </c>
      <c r="B324" s="30" t="s">
        <v>847</v>
      </c>
      <c r="C324" s="30">
        <v>1</v>
      </c>
      <c r="D324" s="30">
        <v>694</v>
      </c>
      <c r="E324" s="30">
        <v>691.65</v>
      </c>
      <c r="F324" s="30" t="s">
        <v>626</v>
      </c>
      <c r="G324" s="30" t="s">
        <v>627</v>
      </c>
      <c r="H324" s="30">
        <v>0</v>
      </c>
      <c r="I324" s="30">
        <v>6.5424720000000001</v>
      </c>
    </row>
    <row r="325" spans="1:9">
      <c r="A325" s="30" t="s">
        <v>619</v>
      </c>
      <c r="B325" s="30" t="s">
        <v>848</v>
      </c>
      <c r="C325" s="30">
        <v>1.5</v>
      </c>
      <c r="D325" s="30">
        <v>25</v>
      </c>
      <c r="E325" s="30">
        <v>37.5</v>
      </c>
      <c r="F325" s="30" t="s">
        <v>626</v>
      </c>
      <c r="G325" s="30" t="s">
        <v>627</v>
      </c>
      <c r="H325" s="30">
        <v>0.40546500000000002</v>
      </c>
      <c r="I325" s="30">
        <v>3.2188759999999998</v>
      </c>
    </row>
    <row r="326" spans="1:9">
      <c r="A326" s="30" t="s">
        <v>619</v>
      </c>
      <c r="B326" s="30" t="s">
        <v>849</v>
      </c>
      <c r="C326" s="30">
        <v>3</v>
      </c>
      <c r="D326" s="30">
        <v>115</v>
      </c>
      <c r="E326" s="30">
        <v>345</v>
      </c>
      <c r="F326" s="30" t="s">
        <v>621</v>
      </c>
      <c r="G326" s="30" t="s">
        <v>638</v>
      </c>
      <c r="H326" s="30">
        <v>1.0986119999999999</v>
      </c>
      <c r="I326" s="30">
        <v>4.7449320000000004</v>
      </c>
    </row>
    <row r="327" spans="1:9">
      <c r="A327" s="30" t="s">
        <v>619</v>
      </c>
      <c r="B327" s="30" t="s">
        <v>850</v>
      </c>
      <c r="C327" s="30">
        <v>2</v>
      </c>
      <c r="D327" s="30">
        <v>130</v>
      </c>
      <c r="E327" s="30">
        <v>260</v>
      </c>
      <c r="F327" s="30" t="s">
        <v>621</v>
      </c>
      <c r="G327" s="30" t="s">
        <v>638</v>
      </c>
      <c r="H327" s="30">
        <v>0.69314699999999996</v>
      </c>
      <c r="I327" s="30">
        <v>4.867534</v>
      </c>
    </row>
    <row r="328" spans="1:9">
      <c r="A328" s="30" t="s">
        <v>619</v>
      </c>
      <c r="B328" s="30" t="s">
        <v>851</v>
      </c>
      <c r="C328" s="30">
        <v>4</v>
      </c>
      <c r="D328" s="30">
        <v>154</v>
      </c>
      <c r="E328" s="30">
        <v>616</v>
      </c>
      <c r="F328" s="30" t="s">
        <v>621</v>
      </c>
      <c r="G328" s="30" t="s">
        <v>648</v>
      </c>
      <c r="H328" s="30">
        <v>1.3862939999999999</v>
      </c>
      <c r="I328" s="30">
        <v>5.0369529999999996</v>
      </c>
    </row>
    <row r="329" spans="1:9">
      <c r="A329" s="30" t="s">
        <v>619</v>
      </c>
      <c r="B329" s="30" t="s">
        <v>852</v>
      </c>
      <c r="C329" s="30">
        <v>3</v>
      </c>
      <c r="D329" s="30">
        <v>237</v>
      </c>
      <c r="E329" s="30">
        <v>711</v>
      </c>
      <c r="F329" s="30" t="s">
        <v>621</v>
      </c>
      <c r="G329" s="30" t="s">
        <v>624</v>
      </c>
      <c r="H329" s="30">
        <v>1.0986119999999999</v>
      </c>
      <c r="I329" s="30">
        <v>5.4680600000000004</v>
      </c>
    </row>
    <row r="330" spans="1:9">
      <c r="A330" s="30" t="s">
        <v>619</v>
      </c>
      <c r="B330" s="30" t="s">
        <v>853</v>
      </c>
      <c r="C330" s="30">
        <v>3</v>
      </c>
      <c r="D330" s="30">
        <v>123</v>
      </c>
      <c r="E330" s="30">
        <v>369</v>
      </c>
      <c r="F330" s="30" t="s">
        <v>621</v>
      </c>
      <c r="G330" s="30" t="s">
        <v>648</v>
      </c>
      <c r="H330" s="30">
        <v>1.0986119999999999</v>
      </c>
      <c r="I330" s="30">
        <v>4.8121840000000002</v>
      </c>
    </row>
    <row r="331" spans="1:9">
      <c r="A331" s="30" t="s">
        <v>619</v>
      </c>
      <c r="B331" s="30" t="s">
        <v>854</v>
      </c>
      <c r="C331" s="30">
        <v>3</v>
      </c>
      <c r="D331" s="30">
        <v>54</v>
      </c>
      <c r="E331" s="30">
        <v>162</v>
      </c>
      <c r="F331" s="30" t="s">
        <v>621</v>
      </c>
      <c r="G331" s="30" t="s">
        <v>624</v>
      </c>
      <c r="H331" s="30">
        <v>1.0986119999999999</v>
      </c>
      <c r="I331" s="30">
        <v>3.9889839999999999</v>
      </c>
    </row>
    <row r="332" spans="1:9">
      <c r="A332" s="30" t="s">
        <v>619</v>
      </c>
      <c r="B332" s="30" t="s">
        <v>855</v>
      </c>
      <c r="C332" s="30">
        <v>3</v>
      </c>
      <c r="D332" s="30">
        <v>50</v>
      </c>
      <c r="E332" s="30">
        <v>150</v>
      </c>
      <c r="F332" s="30" t="s">
        <v>621</v>
      </c>
      <c r="G332" s="30" t="s">
        <v>624</v>
      </c>
      <c r="H332" s="30">
        <v>1.0986119999999999</v>
      </c>
      <c r="I332" s="30">
        <v>3.912023</v>
      </c>
    </row>
    <row r="333" spans="1:9">
      <c r="A333" s="30" t="s">
        <v>619</v>
      </c>
      <c r="B333" s="30" t="s">
        <v>856</v>
      </c>
      <c r="C333" s="30">
        <v>1</v>
      </c>
      <c r="D333" s="30">
        <v>190</v>
      </c>
      <c r="E333" s="30">
        <v>190</v>
      </c>
      <c r="F333" s="30" t="s">
        <v>621</v>
      </c>
      <c r="G333" s="30" t="s">
        <v>648</v>
      </c>
      <c r="H333" s="30">
        <v>0</v>
      </c>
      <c r="I333" s="30">
        <v>5.2470239999999997</v>
      </c>
    </row>
    <row r="334" spans="1:9">
      <c r="A334" s="30" t="s">
        <v>619</v>
      </c>
      <c r="B334" s="30" t="s">
        <v>857</v>
      </c>
      <c r="C334" s="30">
        <v>3</v>
      </c>
      <c r="D334" s="30">
        <v>87</v>
      </c>
      <c r="E334" s="30">
        <v>261</v>
      </c>
      <c r="F334" s="30" t="s">
        <v>621</v>
      </c>
      <c r="G334" s="30" t="s">
        <v>648</v>
      </c>
      <c r="H334" s="30">
        <v>1.0986119999999999</v>
      </c>
      <c r="I334" s="30">
        <v>4.4659079999999998</v>
      </c>
    </row>
    <row r="335" spans="1:9">
      <c r="A335" s="30" t="s">
        <v>619</v>
      </c>
      <c r="B335" s="30" t="s">
        <v>858</v>
      </c>
      <c r="C335" s="30">
        <v>3</v>
      </c>
      <c r="D335" s="30">
        <v>122</v>
      </c>
      <c r="E335" s="30">
        <v>366</v>
      </c>
      <c r="F335" s="30" t="s">
        <v>621</v>
      </c>
      <c r="G335" s="30" t="s">
        <v>624</v>
      </c>
      <c r="H335" s="30">
        <v>1.0986119999999999</v>
      </c>
      <c r="I335" s="30">
        <v>4.8040209999999997</v>
      </c>
    </row>
    <row r="336" spans="1:9">
      <c r="A336" s="30" t="s">
        <v>619</v>
      </c>
      <c r="B336" s="30" t="s">
        <v>859</v>
      </c>
      <c r="C336" s="30">
        <v>3</v>
      </c>
      <c r="D336" s="30">
        <v>759</v>
      </c>
      <c r="E336" s="30">
        <v>2273.85</v>
      </c>
      <c r="F336" s="30" t="s">
        <v>621</v>
      </c>
      <c r="G336" s="30" t="s">
        <v>698</v>
      </c>
      <c r="H336" s="30">
        <v>1.0986119999999999</v>
      </c>
      <c r="I336" s="30">
        <v>6.632002</v>
      </c>
    </row>
    <row r="337" spans="1:9">
      <c r="A337" s="30" t="s">
        <v>619</v>
      </c>
      <c r="B337" s="30" t="s">
        <v>860</v>
      </c>
      <c r="C337" s="30">
        <v>5</v>
      </c>
      <c r="D337" s="30">
        <v>465</v>
      </c>
      <c r="E337" s="30">
        <v>1503</v>
      </c>
      <c r="F337" s="30" t="s">
        <v>621</v>
      </c>
      <c r="G337" s="30" t="s">
        <v>648</v>
      </c>
      <c r="H337" s="30">
        <v>1.6094379999999999</v>
      </c>
      <c r="I337" s="30">
        <v>6.1420370000000002</v>
      </c>
    </row>
    <row r="338" spans="1:9">
      <c r="A338" s="30" t="s">
        <v>619</v>
      </c>
      <c r="B338" s="30" t="s">
        <v>861</v>
      </c>
      <c r="C338" s="30">
        <v>4</v>
      </c>
      <c r="D338" s="30">
        <v>868</v>
      </c>
      <c r="E338" s="30">
        <v>3468.4</v>
      </c>
      <c r="F338" s="30" t="s">
        <v>621</v>
      </c>
      <c r="G338" s="30" t="s">
        <v>638</v>
      </c>
      <c r="H338" s="30">
        <v>1.3862939999999999</v>
      </c>
      <c r="I338" s="30">
        <v>6.7661920000000002</v>
      </c>
    </row>
    <row r="339" spans="1:9">
      <c r="A339" s="30" t="s">
        <v>619</v>
      </c>
      <c r="B339" s="30" t="s">
        <v>862</v>
      </c>
      <c r="C339" s="30">
        <v>5</v>
      </c>
      <c r="D339" s="30">
        <v>99</v>
      </c>
      <c r="E339" s="30">
        <v>494</v>
      </c>
      <c r="F339" s="30" t="s">
        <v>621</v>
      </c>
      <c r="G339" s="30" t="s">
        <v>648</v>
      </c>
      <c r="H339" s="30">
        <v>1.6094379999999999</v>
      </c>
      <c r="I339" s="30">
        <v>4.5951199999999996</v>
      </c>
    </row>
    <row r="340" spans="1:9">
      <c r="A340" s="30" t="s">
        <v>619</v>
      </c>
      <c r="B340" s="30" t="s">
        <v>863</v>
      </c>
      <c r="C340" s="30">
        <v>5</v>
      </c>
      <c r="D340" s="30">
        <v>231</v>
      </c>
      <c r="E340" s="30">
        <v>1154.25</v>
      </c>
      <c r="F340" s="30" t="s">
        <v>621</v>
      </c>
      <c r="G340" s="30" t="s">
        <v>648</v>
      </c>
      <c r="H340" s="30">
        <v>1.6094379999999999</v>
      </c>
      <c r="I340" s="30">
        <v>5.442418</v>
      </c>
    </row>
    <row r="341" spans="1:9">
      <c r="A341" s="30" t="s">
        <v>619</v>
      </c>
      <c r="B341" s="30" t="s">
        <v>864</v>
      </c>
      <c r="C341" s="30">
        <v>3</v>
      </c>
      <c r="D341" s="30">
        <v>1228</v>
      </c>
      <c r="E341" s="30">
        <v>3676.2</v>
      </c>
      <c r="F341" s="30" t="s">
        <v>621</v>
      </c>
      <c r="G341" s="30" t="s">
        <v>638</v>
      </c>
      <c r="H341" s="30">
        <v>1.0986119999999999</v>
      </c>
      <c r="I341" s="30">
        <v>7.1131419999999999</v>
      </c>
    </row>
    <row r="342" spans="1:9">
      <c r="A342" s="30" t="s">
        <v>619</v>
      </c>
      <c r="B342" s="30" t="s">
        <v>865</v>
      </c>
      <c r="C342" s="30">
        <v>3</v>
      </c>
      <c r="D342" s="30">
        <v>325</v>
      </c>
      <c r="E342" s="30">
        <v>966</v>
      </c>
      <c r="F342" s="30" t="s">
        <v>621</v>
      </c>
      <c r="G342" s="30" t="s">
        <v>648</v>
      </c>
      <c r="H342" s="30">
        <v>1.0986119999999999</v>
      </c>
      <c r="I342" s="30">
        <v>5.7838250000000002</v>
      </c>
    </row>
    <row r="343" spans="1:9">
      <c r="A343" s="30" t="s">
        <v>619</v>
      </c>
      <c r="B343" s="30" t="s">
        <v>866</v>
      </c>
      <c r="C343" s="30">
        <v>3</v>
      </c>
      <c r="D343" s="30">
        <v>1033</v>
      </c>
      <c r="E343" s="30">
        <v>3099</v>
      </c>
      <c r="F343" s="30" t="s">
        <v>621</v>
      </c>
      <c r="G343" s="30" t="s">
        <v>624</v>
      </c>
      <c r="H343" s="30">
        <v>1.0986119999999999</v>
      </c>
      <c r="I343" s="30">
        <v>6.9402220000000003</v>
      </c>
    </row>
    <row r="344" spans="1:9">
      <c r="A344" s="30" t="s">
        <v>619</v>
      </c>
      <c r="B344" s="30" t="s">
        <v>867</v>
      </c>
      <c r="C344" s="30">
        <v>3</v>
      </c>
      <c r="D344" s="30">
        <v>1007</v>
      </c>
      <c r="E344" s="30">
        <v>3005.4</v>
      </c>
      <c r="F344" s="30" t="s">
        <v>621</v>
      </c>
      <c r="G344" s="30" t="s">
        <v>638</v>
      </c>
      <c r="H344" s="30">
        <v>1.0986119999999999</v>
      </c>
      <c r="I344" s="30">
        <v>6.9147309999999997</v>
      </c>
    </row>
    <row r="345" spans="1:9">
      <c r="A345" s="30" t="s">
        <v>619</v>
      </c>
      <c r="B345" s="30" t="s">
        <v>868</v>
      </c>
      <c r="C345" s="30">
        <v>2</v>
      </c>
      <c r="D345" s="30">
        <v>528</v>
      </c>
      <c r="E345" s="30">
        <v>1056</v>
      </c>
      <c r="F345" s="30" t="s">
        <v>621</v>
      </c>
      <c r="G345" s="30" t="s">
        <v>638</v>
      </c>
      <c r="H345" s="30">
        <v>0.69314699999999996</v>
      </c>
      <c r="I345" s="30">
        <v>6.2690960000000002</v>
      </c>
    </row>
    <row r="346" spans="1:9">
      <c r="A346" s="30" t="s">
        <v>619</v>
      </c>
      <c r="B346" s="30" t="s">
        <v>869</v>
      </c>
      <c r="C346" s="30">
        <v>1.5</v>
      </c>
      <c r="D346" s="30">
        <v>53</v>
      </c>
      <c r="E346" s="30">
        <v>79.5</v>
      </c>
      <c r="F346" s="30" t="s">
        <v>626</v>
      </c>
      <c r="G346" s="30" t="s">
        <v>627</v>
      </c>
      <c r="H346" s="30">
        <v>0.40546500000000002</v>
      </c>
      <c r="I346" s="30">
        <v>3.9702920000000002</v>
      </c>
    </row>
    <row r="347" spans="1:9">
      <c r="A347" s="30" t="s">
        <v>619</v>
      </c>
      <c r="B347" s="30" t="s">
        <v>870</v>
      </c>
      <c r="C347" s="30">
        <v>1.5</v>
      </c>
      <c r="D347" s="30">
        <v>71</v>
      </c>
      <c r="E347" s="30">
        <v>106.2</v>
      </c>
      <c r="F347" s="30" t="s">
        <v>626</v>
      </c>
      <c r="G347" s="30" t="s">
        <v>627</v>
      </c>
      <c r="H347" s="30">
        <v>0.40546500000000002</v>
      </c>
      <c r="I347" s="30">
        <v>4.2626799999999996</v>
      </c>
    </row>
    <row r="348" spans="1:9">
      <c r="A348" s="30" t="s">
        <v>619</v>
      </c>
      <c r="B348" s="30" t="s">
        <v>871</v>
      </c>
      <c r="C348" s="30">
        <v>1.5</v>
      </c>
      <c r="D348" s="30">
        <v>181</v>
      </c>
      <c r="E348" s="30">
        <v>271.5</v>
      </c>
      <c r="F348" s="30" t="s">
        <v>626</v>
      </c>
      <c r="G348" s="30" t="s">
        <v>627</v>
      </c>
      <c r="H348" s="30">
        <v>0.40546500000000002</v>
      </c>
      <c r="I348" s="30">
        <v>5.1984969999999997</v>
      </c>
    </row>
    <row r="349" spans="1:9">
      <c r="A349" s="30" t="s">
        <v>619</v>
      </c>
      <c r="B349" s="30" t="s">
        <v>872</v>
      </c>
      <c r="C349" s="30">
        <v>1.5</v>
      </c>
      <c r="D349" s="30">
        <v>1</v>
      </c>
      <c r="E349" s="30">
        <v>1.5</v>
      </c>
      <c r="F349" s="30" t="s">
        <v>626</v>
      </c>
      <c r="G349" s="30" t="s">
        <v>627</v>
      </c>
      <c r="H349" s="30">
        <v>0.40546500000000002</v>
      </c>
      <c r="I349" s="30">
        <v>0</v>
      </c>
    </row>
    <row r="350" spans="1:9">
      <c r="A350" s="30" t="s">
        <v>619</v>
      </c>
      <c r="B350" s="30" t="s">
        <v>873</v>
      </c>
      <c r="C350" s="30">
        <v>4</v>
      </c>
      <c r="D350" s="30">
        <v>3044</v>
      </c>
      <c r="E350" s="30">
        <v>12158.6</v>
      </c>
      <c r="F350" s="30" t="s">
        <v>621</v>
      </c>
      <c r="G350" s="30" t="s">
        <v>638</v>
      </c>
      <c r="H350" s="30">
        <v>1.3862939999999999</v>
      </c>
      <c r="I350" s="30">
        <v>8.0209279999999996</v>
      </c>
    </row>
    <row r="351" spans="1:9">
      <c r="A351" s="30" t="s">
        <v>619</v>
      </c>
      <c r="B351" s="30" t="s">
        <v>874</v>
      </c>
      <c r="C351" s="30">
        <v>3</v>
      </c>
      <c r="D351" s="30">
        <v>4414</v>
      </c>
      <c r="E351" s="30">
        <v>13193.25</v>
      </c>
      <c r="F351" s="30" t="s">
        <v>621</v>
      </c>
      <c r="G351" s="30" t="s">
        <v>638</v>
      </c>
      <c r="H351" s="30">
        <v>1.0986119999999999</v>
      </c>
      <c r="I351" s="30">
        <v>8.3925370000000008</v>
      </c>
    </row>
    <row r="352" spans="1:9">
      <c r="A352" s="30" t="s">
        <v>619</v>
      </c>
      <c r="B352" s="30" t="s">
        <v>875</v>
      </c>
      <c r="C352" s="30">
        <v>2</v>
      </c>
      <c r="D352" s="30">
        <v>2061</v>
      </c>
      <c r="E352" s="30">
        <v>4089.2</v>
      </c>
      <c r="F352" s="30" t="s">
        <v>626</v>
      </c>
      <c r="G352" s="30" t="s">
        <v>663</v>
      </c>
      <c r="H352" s="30">
        <v>0.69314699999999996</v>
      </c>
      <c r="I352" s="30">
        <v>7.6309469999999999</v>
      </c>
    </row>
    <row r="353" spans="1:9">
      <c r="A353" s="30" t="s">
        <v>619</v>
      </c>
      <c r="B353" s="30" t="s">
        <v>876</v>
      </c>
      <c r="C353" s="30">
        <v>2</v>
      </c>
      <c r="D353" s="30">
        <v>1070</v>
      </c>
      <c r="E353" s="30">
        <v>2085.1999999999998</v>
      </c>
      <c r="F353" s="30" t="s">
        <v>626</v>
      </c>
      <c r="G353" s="30" t="s">
        <v>663</v>
      </c>
      <c r="H353" s="30">
        <v>0.69314699999999996</v>
      </c>
      <c r="I353" s="30">
        <v>6.9754139999999998</v>
      </c>
    </row>
    <row r="354" spans="1:9">
      <c r="A354" s="30" t="s">
        <v>619</v>
      </c>
      <c r="B354" s="30" t="s">
        <v>877</v>
      </c>
      <c r="C354" s="30">
        <v>8</v>
      </c>
      <c r="D354" s="30">
        <v>351</v>
      </c>
      <c r="E354" s="30">
        <v>2808</v>
      </c>
      <c r="F354" s="30" t="s">
        <v>621</v>
      </c>
      <c r="G354" s="30" t="s">
        <v>648</v>
      </c>
      <c r="H354" s="30">
        <v>2.0794419999999998</v>
      </c>
      <c r="I354" s="30">
        <v>5.8607860000000001</v>
      </c>
    </row>
    <row r="355" spans="1:9">
      <c r="A355" s="30" t="s">
        <v>619</v>
      </c>
      <c r="B355" s="30" t="s">
        <v>878</v>
      </c>
      <c r="C355" s="30">
        <v>4</v>
      </c>
      <c r="D355" s="30">
        <v>20</v>
      </c>
      <c r="E355" s="30">
        <v>80</v>
      </c>
      <c r="F355" s="30" t="s">
        <v>626</v>
      </c>
      <c r="G355" s="30" t="s">
        <v>879</v>
      </c>
      <c r="H355" s="30">
        <v>1.3862939999999999</v>
      </c>
      <c r="I355" s="30">
        <v>2.9957319999999998</v>
      </c>
    </row>
    <row r="356" spans="1:9">
      <c r="A356" s="30" t="s">
        <v>619</v>
      </c>
      <c r="B356" s="30" t="s">
        <v>880</v>
      </c>
      <c r="C356" s="30">
        <v>1</v>
      </c>
      <c r="D356" s="30">
        <v>1205</v>
      </c>
      <c r="E356" s="30">
        <v>1188.8</v>
      </c>
      <c r="F356" s="30" t="s">
        <v>626</v>
      </c>
      <c r="G356" s="30" t="s">
        <v>663</v>
      </c>
      <c r="H356" s="30">
        <v>0</v>
      </c>
      <c r="I356" s="30">
        <v>7.0942350000000003</v>
      </c>
    </row>
    <row r="357" spans="1:9">
      <c r="A357" s="30" t="s">
        <v>619</v>
      </c>
      <c r="B357" s="30" t="s">
        <v>881</v>
      </c>
      <c r="C357" s="30">
        <v>4</v>
      </c>
      <c r="D357" s="30">
        <v>95</v>
      </c>
      <c r="E357" s="30">
        <v>380</v>
      </c>
      <c r="F357" s="30" t="s">
        <v>626</v>
      </c>
      <c r="G357" s="30" t="s">
        <v>879</v>
      </c>
      <c r="H357" s="30">
        <v>1.3862939999999999</v>
      </c>
      <c r="I357" s="30">
        <v>4.553877</v>
      </c>
    </row>
    <row r="358" spans="1:9">
      <c r="A358" s="30" t="s">
        <v>619</v>
      </c>
      <c r="B358" s="30" t="s">
        <v>882</v>
      </c>
      <c r="C358" s="30">
        <v>1</v>
      </c>
      <c r="D358" s="30">
        <v>255</v>
      </c>
      <c r="E358" s="30">
        <v>255</v>
      </c>
      <c r="F358" s="30" t="s">
        <v>626</v>
      </c>
      <c r="G358" s="30" t="s">
        <v>663</v>
      </c>
      <c r="H358" s="30">
        <v>0</v>
      </c>
      <c r="I358" s="30">
        <v>5.541264</v>
      </c>
    </row>
    <row r="359" spans="1:9">
      <c r="A359" s="30" t="s">
        <v>619</v>
      </c>
      <c r="B359" s="30" t="s">
        <v>883</v>
      </c>
      <c r="C359" s="30">
        <v>0.5</v>
      </c>
      <c r="D359" s="30">
        <v>219</v>
      </c>
      <c r="E359" s="30">
        <v>109.5</v>
      </c>
      <c r="F359" s="30" t="s">
        <v>626</v>
      </c>
      <c r="G359" s="30" t="s">
        <v>663</v>
      </c>
      <c r="H359" s="30">
        <v>-0.69315000000000004</v>
      </c>
      <c r="I359" s="30">
        <v>5.3890719999999996</v>
      </c>
    </row>
    <row r="360" spans="1:9">
      <c r="A360" s="30" t="s">
        <v>619</v>
      </c>
      <c r="B360" s="30" t="s">
        <v>884</v>
      </c>
      <c r="C360" s="30">
        <v>12</v>
      </c>
      <c r="D360" s="30">
        <v>111</v>
      </c>
      <c r="E360" s="30">
        <v>1332</v>
      </c>
      <c r="F360" s="30" t="s">
        <v>621</v>
      </c>
      <c r="G360" s="30" t="s">
        <v>624</v>
      </c>
      <c r="H360" s="30">
        <v>2.4849070000000002</v>
      </c>
      <c r="I360" s="30">
        <v>4.70953</v>
      </c>
    </row>
    <row r="361" spans="1:9">
      <c r="A361" s="30" t="s">
        <v>619</v>
      </c>
      <c r="B361" s="30" t="s">
        <v>885</v>
      </c>
      <c r="C361" s="30">
        <v>3</v>
      </c>
      <c r="D361" s="30">
        <v>467</v>
      </c>
      <c r="E361" s="30">
        <v>1401</v>
      </c>
      <c r="F361" s="30" t="s">
        <v>621</v>
      </c>
      <c r="G361" s="30" t="s">
        <v>624</v>
      </c>
      <c r="H361" s="30">
        <v>1.0986119999999999</v>
      </c>
      <c r="I361" s="30">
        <v>6.1463289999999997</v>
      </c>
    </row>
    <row r="362" spans="1:9">
      <c r="A362" s="30" t="s">
        <v>619</v>
      </c>
      <c r="B362" s="30" t="s">
        <v>886</v>
      </c>
      <c r="C362" s="30">
        <v>0.5</v>
      </c>
      <c r="D362" s="30">
        <v>217</v>
      </c>
      <c r="E362" s="30">
        <v>108.3</v>
      </c>
      <c r="F362" s="30" t="s">
        <v>626</v>
      </c>
      <c r="G362" s="30" t="s">
        <v>663</v>
      </c>
      <c r="H362" s="30">
        <v>-0.69315000000000004</v>
      </c>
      <c r="I362" s="30">
        <v>5.3798969999999997</v>
      </c>
    </row>
    <row r="363" spans="1:9">
      <c r="A363" s="30" t="s">
        <v>619</v>
      </c>
      <c r="B363" s="30" t="s">
        <v>887</v>
      </c>
      <c r="C363" s="30">
        <v>10</v>
      </c>
      <c r="D363" s="30">
        <v>522</v>
      </c>
      <c r="E363" s="30">
        <v>5220</v>
      </c>
      <c r="F363" s="30" t="s">
        <v>621</v>
      </c>
      <c r="G363" s="30" t="s">
        <v>648</v>
      </c>
      <c r="H363" s="30">
        <v>2.3025850000000001</v>
      </c>
      <c r="I363" s="30">
        <v>6.2576679999999998</v>
      </c>
    </row>
    <row r="364" spans="1:9">
      <c r="A364" s="30" t="s">
        <v>619</v>
      </c>
      <c r="B364" s="30" t="s">
        <v>888</v>
      </c>
      <c r="C364" s="30">
        <v>0.5</v>
      </c>
      <c r="D364" s="30">
        <v>13</v>
      </c>
      <c r="E364" s="30">
        <v>6.4</v>
      </c>
      <c r="F364" s="30" t="s">
        <v>626</v>
      </c>
      <c r="G364" s="30" t="s">
        <v>663</v>
      </c>
      <c r="H364" s="30">
        <v>-0.69315000000000004</v>
      </c>
      <c r="I364" s="30">
        <v>2.5649489999999999</v>
      </c>
    </row>
    <row r="365" spans="1:9">
      <c r="A365" s="30" t="s">
        <v>619</v>
      </c>
      <c r="B365" s="30" t="s">
        <v>889</v>
      </c>
      <c r="C365" s="30">
        <v>0.5</v>
      </c>
      <c r="D365" s="30">
        <v>381</v>
      </c>
      <c r="E365" s="30">
        <v>190.1</v>
      </c>
      <c r="F365" s="30" t="s">
        <v>626</v>
      </c>
      <c r="G365" s="30" t="s">
        <v>663</v>
      </c>
      <c r="H365" s="30">
        <v>-0.69315000000000004</v>
      </c>
      <c r="I365" s="30">
        <v>5.9427989999999999</v>
      </c>
    </row>
    <row r="366" spans="1:9">
      <c r="A366" s="30" t="s">
        <v>619</v>
      </c>
      <c r="B366" s="30" t="s">
        <v>890</v>
      </c>
      <c r="C366" s="30">
        <v>0.5</v>
      </c>
      <c r="D366" s="30">
        <v>123</v>
      </c>
      <c r="E366" s="30">
        <v>61.4</v>
      </c>
      <c r="F366" s="30" t="s">
        <v>626</v>
      </c>
      <c r="G366" s="30" t="s">
        <v>663</v>
      </c>
      <c r="H366" s="30">
        <v>-0.69315000000000004</v>
      </c>
      <c r="I366" s="30">
        <v>4.8121840000000002</v>
      </c>
    </row>
    <row r="367" spans="1:9">
      <c r="A367" s="30" t="s">
        <v>619</v>
      </c>
      <c r="B367" s="30" t="s">
        <v>891</v>
      </c>
      <c r="C367" s="30">
        <v>1</v>
      </c>
      <c r="D367" s="30">
        <v>212</v>
      </c>
      <c r="E367" s="30">
        <v>212</v>
      </c>
      <c r="F367" s="30" t="s">
        <v>626</v>
      </c>
      <c r="G367" s="30" t="s">
        <v>663</v>
      </c>
      <c r="H367" s="30">
        <v>0</v>
      </c>
      <c r="I367" s="30">
        <v>5.3565860000000001</v>
      </c>
    </row>
    <row r="368" spans="1:9">
      <c r="A368" s="30" t="s">
        <v>619</v>
      </c>
      <c r="B368" s="30" t="s">
        <v>892</v>
      </c>
      <c r="C368" s="30">
        <v>8</v>
      </c>
      <c r="D368" s="30">
        <v>90</v>
      </c>
      <c r="E368" s="30">
        <v>720</v>
      </c>
      <c r="F368" s="30" t="s">
        <v>621</v>
      </c>
      <c r="G368" s="30" t="s">
        <v>624</v>
      </c>
      <c r="H368" s="30">
        <v>2.0794419999999998</v>
      </c>
      <c r="I368" s="30">
        <v>4.4998100000000001</v>
      </c>
    </row>
    <row r="369" spans="1:9">
      <c r="A369" s="30" t="s">
        <v>619</v>
      </c>
      <c r="B369" s="30" t="s">
        <v>893</v>
      </c>
      <c r="C369" s="30">
        <v>6</v>
      </c>
      <c r="D369" s="30">
        <v>441</v>
      </c>
      <c r="E369" s="30">
        <v>2646</v>
      </c>
      <c r="F369" s="30" t="s">
        <v>621</v>
      </c>
      <c r="G369" s="30" t="s">
        <v>624</v>
      </c>
      <c r="H369" s="30">
        <v>1.7917590000000001</v>
      </c>
      <c r="I369" s="30">
        <v>6.0890449999999996</v>
      </c>
    </row>
    <row r="370" spans="1:9">
      <c r="A370" s="30" t="s">
        <v>619</v>
      </c>
      <c r="B370" s="30" t="s">
        <v>894</v>
      </c>
      <c r="C370" s="30">
        <v>2.5</v>
      </c>
      <c r="D370" s="30">
        <v>19</v>
      </c>
      <c r="E370" s="30">
        <v>47</v>
      </c>
      <c r="F370" s="30" t="s">
        <v>626</v>
      </c>
      <c r="G370" s="30" t="s">
        <v>663</v>
      </c>
      <c r="H370" s="30">
        <v>0.91629099999999997</v>
      </c>
      <c r="I370" s="30">
        <v>2.944439</v>
      </c>
    </row>
    <row r="371" spans="1:9">
      <c r="A371" s="30" t="s">
        <v>619</v>
      </c>
      <c r="B371" s="30" t="s">
        <v>895</v>
      </c>
      <c r="C371" s="30">
        <v>3</v>
      </c>
      <c r="D371" s="30">
        <v>1335</v>
      </c>
      <c r="E371" s="30">
        <v>3947.4</v>
      </c>
      <c r="F371" s="30" t="s">
        <v>626</v>
      </c>
      <c r="G371" s="30" t="s">
        <v>663</v>
      </c>
      <c r="H371" s="30">
        <v>1.0986119999999999</v>
      </c>
      <c r="I371" s="30">
        <v>7.1966869999999998</v>
      </c>
    </row>
    <row r="372" spans="1:9">
      <c r="A372" s="30" t="s">
        <v>619</v>
      </c>
      <c r="B372" s="30" t="s">
        <v>896</v>
      </c>
      <c r="C372" s="30">
        <v>1</v>
      </c>
      <c r="D372" s="30">
        <v>171</v>
      </c>
      <c r="E372" s="30">
        <v>171</v>
      </c>
      <c r="F372" s="30" t="s">
        <v>626</v>
      </c>
      <c r="G372" s="30" t="s">
        <v>663</v>
      </c>
      <c r="H372" s="30">
        <v>0</v>
      </c>
      <c r="I372" s="30">
        <v>5.1416639999999996</v>
      </c>
    </row>
    <row r="373" spans="1:9">
      <c r="A373" s="30" t="s">
        <v>619</v>
      </c>
      <c r="B373" s="30" t="s">
        <v>897</v>
      </c>
      <c r="C373" s="30">
        <v>3</v>
      </c>
      <c r="D373" s="30">
        <v>1223</v>
      </c>
      <c r="E373" s="30">
        <v>3592.2</v>
      </c>
      <c r="F373" s="30" t="s">
        <v>626</v>
      </c>
      <c r="G373" s="30" t="s">
        <v>663</v>
      </c>
      <c r="H373" s="30">
        <v>1.0986119999999999</v>
      </c>
      <c r="I373" s="30">
        <v>7.1090619999999998</v>
      </c>
    </row>
    <row r="374" spans="1:9">
      <c r="A374" s="30" t="s">
        <v>619</v>
      </c>
      <c r="B374" s="30" t="s">
        <v>898</v>
      </c>
      <c r="C374" s="30">
        <v>1</v>
      </c>
      <c r="D374" s="30">
        <v>660</v>
      </c>
      <c r="E374" s="30">
        <v>642.29999999999995</v>
      </c>
      <c r="F374" s="30" t="s">
        <v>621</v>
      </c>
      <c r="G374" s="30" t="s">
        <v>624</v>
      </c>
      <c r="H374" s="30">
        <v>0</v>
      </c>
      <c r="I374" s="30">
        <v>6.4922399999999998</v>
      </c>
    </row>
    <row r="375" spans="1:9">
      <c r="A375" s="30" t="s">
        <v>619</v>
      </c>
      <c r="B375" s="30" t="s">
        <v>899</v>
      </c>
      <c r="C375" s="30">
        <v>2</v>
      </c>
      <c r="D375" s="30">
        <v>477</v>
      </c>
      <c r="E375" s="30">
        <v>940.8</v>
      </c>
      <c r="F375" s="30" t="s">
        <v>626</v>
      </c>
      <c r="G375" s="30" t="s">
        <v>663</v>
      </c>
      <c r="H375" s="30">
        <v>0.69314699999999996</v>
      </c>
      <c r="I375" s="30">
        <v>6.167516</v>
      </c>
    </row>
    <row r="376" spans="1:9">
      <c r="A376" s="30" t="s">
        <v>619</v>
      </c>
      <c r="B376" s="30" t="s">
        <v>900</v>
      </c>
      <c r="C376" s="30">
        <v>3</v>
      </c>
      <c r="D376" s="30">
        <v>693</v>
      </c>
      <c r="E376" s="30">
        <v>2079</v>
      </c>
      <c r="F376" s="30" t="s">
        <v>621</v>
      </c>
      <c r="G376" s="30" t="s">
        <v>648</v>
      </c>
      <c r="H376" s="30">
        <v>1.0986119999999999</v>
      </c>
      <c r="I376" s="30">
        <v>6.5410300000000001</v>
      </c>
    </row>
    <row r="377" spans="1:9">
      <c r="A377" s="30" t="s">
        <v>619</v>
      </c>
      <c r="B377" s="30" t="s">
        <v>901</v>
      </c>
      <c r="C377" s="30">
        <v>3</v>
      </c>
      <c r="D377" s="30">
        <v>107</v>
      </c>
      <c r="E377" s="30">
        <v>321</v>
      </c>
      <c r="F377" s="30" t="s">
        <v>621</v>
      </c>
      <c r="G377" s="30" t="s">
        <v>624</v>
      </c>
      <c r="H377" s="30">
        <v>1.0986119999999999</v>
      </c>
      <c r="I377" s="30">
        <v>4.6728290000000001</v>
      </c>
    </row>
    <row r="378" spans="1:9">
      <c r="A378" s="30" t="s">
        <v>619</v>
      </c>
      <c r="B378" s="30" t="s">
        <v>902</v>
      </c>
      <c r="C378" s="30">
        <v>4</v>
      </c>
      <c r="D378" s="30">
        <v>13</v>
      </c>
      <c r="E378" s="30">
        <v>52</v>
      </c>
      <c r="F378" s="30" t="s">
        <v>626</v>
      </c>
      <c r="G378" s="30" t="s">
        <v>879</v>
      </c>
      <c r="H378" s="30">
        <v>1.3862939999999999</v>
      </c>
      <c r="I378" s="30">
        <v>2.5649489999999999</v>
      </c>
    </row>
    <row r="379" spans="1:9">
      <c r="A379" s="30" t="s">
        <v>619</v>
      </c>
      <c r="B379" s="30" t="s">
        <v>903</v>
      </c>
      <c r="C379" s="30">
        <v>3</v>
      </c>
      <c r="D379" s="30">
        <v>930</v>
      </c>
      <c r="E379" s="30">
        <v>2774.4</v>
      </c>
      <c r="F379" s="30" t="s">
        <v>626</v>
      </c>
      <c r="G379" s="30" t="s">
        <v>663</v>
      </c>
      <c r="H379" s="30">
        <v>1.0986119999999999</v>
      </c>
      <c r="I379" s="30">
        <v>6.8351850000000001</v>
      </c>
    </row>
    <row r="380" spans="1:9">
      <c r="A380" s="30" t="s">
        <v>619</v>
      </c>
      <c r="B380" s="30" t="s">
        <v>904</v>
      </c>
      <c r="C380" s="30">
        <v>4</v>
      </c>
      <c r="D380" s="30">
        <v>1385</v>
      </c>
      <c r="E380" s="30">
        <v>5514.4</v>
      </c>
      <c r="F380" s="30" t="s">
        <v>626</v>
      </c>
      <c r="G380" s="30" t="s">
        <v>663</v>
      </c>
      <c r="H380" s="30">
        <v>1.3862939999999999</v>
      </c>
      <c r="I380" s="30">
        <v>7.2334550000000002</v>
      </c>
    </row>
    <row r="381" spans="1:9">
      <c r="A381" s="30" t="s">
        <v>619</v>
      </c>
      <c r="B381" s="30" t="s">
        <v>905</v>
      </c>
      <c r="C381" s="30">
        <v>7</v>
      </c>
      <c r="D381" s="30">
        <v>1520</v>
      </c>
      <c r="E381" s="30">
        <v>10637.2</v>
      </c>
      <c r="F381" s="30" t="s">
        <v>621</v>
      </c>
      <c r="G381" s="30" t="s">
        <v>737</v>
      </c>
      <c r="H381" s="30">
        <v>1.94591</v>
      </c>
      <c r="I381" s="30">
        <v>7.3264659999999999</v>
      </c>
    </row>
    <row r="382" spans="1:9">
      <c r="A382" s="30" t="s">
        <v>619</v>
      </c>
      <c r="B382" s="30" t="s">
        <v>906</v>
      </c>
      <c r="C382" s="30">
        <v>5</v>
      </c>
      <c r="D382" s="30">
        <v>2276</v>
      </c>
      <c r="E382" s="30">
        <v>11368</v>
      </c>
      <c r="F382" s="30" t="s">
        <v>621</v>
      </c>
      <c r="G382" s="30" t="s">
        <v>737</v>
      </c>
      <c r="H382" s="30">
        <v>1.6094379999999999</v>
      </c>
      <c r="I382" s="30">
        <v>7.730175</v>
      </c>
    </row>
    <row r="383" spans="1:9">
      <c r="A383" s="30" t="s">
        <v>619</v>
      </c>
      <c r="B383" s="30" t="s">
        <v>907</v>
      </c>
      <c r="C383" s="30">
        <v>6</v>
      </c>
      <c r="D383" s="30">
        <v>840</v>
      </c>
      <c r="E383" s="30">
        <v>5040</v>
      </c>
      <c r="F383" s="30" t="s">
        <v>621</v>
      </c>
      <c r="G383" s="30" t="s">
        <v>648</v>
      </c>
      <c r="H383" s="30">
        <v>1.7917590000000001</v>
      </c>
      <c r="I383" s="30">
        <v>6.7334019999999999</v>
      </c>
    </row>
    <row r="384" spans="1:9">
      <c r="A384" s="30" t="s">
        <v>619</v>
      </c>
      <c r="B384" s="30" t="s">
        <v>908</v>
      </c>
      <c r="C384" s="30">
        <v>3</v>
      </c>
      <c r="D384" s="30">
        <v>18</v>
      </c>
      <c r="E384" s="30">
        <v>54</v>
      </c>
      <c r="F384" s="30" t="s">
        <v>626</v>
      </c>
      <c r="G384" s="30" t="s">
        <v>879</v>
      </c>
      <c r="H384" s="30">
        <v>1.0986119999999999</v>
      </c>
      <c r="I384" s="30">
        <v>2.8903720000000002</v>
      </c>
    </row>
    <row r="385" spans="1:9">
      <c r="A385" s="30" t="s">
        <v>619</v>
      </c>
      <c r="B385" s="30" t="s">
        <v>909</v>
      </c>
      <c r="C385" s="30">
        <v>3</v>
      </c>
      <c r="D385" s="30">
        <v>2487</v>
      </c>
      <c r="E385" s="30">
        <v>7461</v>
      </c>
      <c r="F385" s="30" t="s">
        <v>626</v>
      </c>
      <c r="G385" s="30" t="s">
        <v>879</v>
      </c>
      <c r="H385" s="30">
        <v>1.0986119999999999</v>
      </c>
      <c r="I385" s="30">
        <v>7.8188319999999996</v>
      </c>
    </row>
    <row r="386" spans="1:9">
      <c r="A386" s="30" t="s">
        <v>619</v>
      </c>
      <c r="B386" s="30" t="s">
        <v>910</v>
      </c>
      <c r="C386" s="30">
        <v>8</v>
      </c>
      <c r="D386" s="30">
        <v>145</v>
      </c>
      <c r="E386" s="30">
        <v>1160</v>
      </c>
      <c r="F386" s="30" t="s">
        <v>626</v>
      </c>
      <c r="G386" s="30" t="s">
        <v>879</v>
      </c>
      <c r="H386" s="30">
        <v>2.0794419999999998</v>
      </c>
      <c r="I386" s="30">
        <v>4.9767340000000004</v>
      </c>
    </row>
    <row r="387" spans="1:9">
      <c r="A387" s="30" t="s">
        <v>619</v>
      </c>
      <c r="B387" s="30" t="s">
        <v>911</v>
      </c>
      <c r="C387" s="30">
        <v>5</v>
      </c>
      <c r="D387" s="30">
        <v>933</v>
      </c>
      <c r="E387" s="30">
        <v>4665</v>
      </c>
      <c r="F387" s="30" t="s">
        <v>621</v>
      </c>
      <c r="G387" s="30" t="s">
        <v>648</v>
      </c>
      <c r="H387" s="30">
        <v>1.6094379999999999</v>
      </c>
      <c r="I387" s="30">
        <v>6.8384049999999998</v>
      </c>
    </row>
    <row r="388" spans="1:9">
      <c r="A388" s="30" t="s">
        <v>619</v>
      </c>
      <c r="B388" s="30" t="s">
        <v>912</v>
      </c>
      <c r="C388" s="30">
        <v>2.5</v>
      </c>
      <c r="D388" s="30">
        <v>638</v>
      </c>
      <c r="E388" s="30">
        <v>1595</v>
      </c>
      <c r="F388" s="30" t="s">
        <v>626</v>
      </c>
      <c r="G388" s="30" t="s">
        <v>663</v>
      </c>
      <c r="H388" s="30">
        <v>0.91629099999999997</v>
      </c>
      <c r="I388" s="30">
        <v>6.4583380000000004</v>
      </c>
    </row>
    <row r="389" spans="1:9">
      <c r="A389" s="30" t="s">
        <v>619</v>
      </c>
      <c r="B389" s="30" t="s">
        <v>913</v>
      </c>
      <c r="C389" s="30">
        <v>3</v>
      </c>
      <c r="D389" s="30">
        <v>119</v>
      </c>
      <c r="E389" s="30">
        <v>357</v>
      </c>
      <c r="F389" s="30" t="s">
        <v>626</v>
      </c>
      <c r="G389" s="30" t="s">
        <v>663</v>
      </c>
      <c r="H389" s="30">
        <v>1.0986119999999999</v>
      </c>
      <c r="I389" s="30">
        <v>4.7791230000000002</v>
      </c>
    </row>
    <row r="390" spans="1:9">
      <c r="A390" s="30" t="s">
        <v>619</v>
      </c>
      <c r="B390" s="30" t="s">
        <v>914</v>
      </c>
      <c r="C390" s="30">
        <v>3</v>
      </c>
      <c r="D390" s="30">
        <v>350</v>
      </c>
      <c r="E390" s="30">
        <v>1050</v>
      </c>
      <c r="F390" s="30" t="s">
        <v>626</v>
      </c>
      <c r="G390" s="30" t="s">
        <v>663</v>
      </c>
      <c r="H390" s="30">
        <v>1.0986119999999999</v>
      </c>
      <c r="I390" s="30">
        <v>5.8579330000000001</v>
      </c>
    </row>
    <row r="391" spans="1:9">
      <c r="A391" s="30" t="s">
        <v>619</v>
      </c>
      <c r="B391" s="30" t="s">
        <v>915</v>
      </c>
      <c r="C391" s="30">
        <v>3</v>
      </c>
      <c r="D391" s="30">
        <v>385</v>
      </c>
      <c r="E391" s="30">
        <v>1152.5999999999999</v>
      </c>
      <c r="F391" s="30" t="s">
        <v>626</v>
      </c>
      <c r="G391" s="30" t="s">
        <v>663</v>
      </c>
      <c r="H391" s="30">
        <v>1.0986119999999999</v>
      </c>
      <c r="I391" s="30">
        <v>5.9532429999999996</v>
      </c>
    </row>
    <row r="392" spans="1:9">
      <c r="A392" s="30" t="s">
        <v>619</v>
      </c>
      <c r="B392" s="30" t="s">
        <v>916</v>
      </c>
      <c r="C392" s="30">
        <v>3</v>
      </c>
      <c r="D392" s="30">
        <v>279</v>
      </c>
      <c r="E392" s="30">
        <v>835.2</v>
      </c>
      <c r="F392" s="30" t="s">
        <v>626</v>
      </c>
      <c r="G392" s="30" t="s">
        <v>663</v>
      </c>
      <c r="H392" s="30">
        <v>1.0986119999999999</v>
      </c>
      <c r="I392" s="30">
        <v>5.6312119999999997</v>
      </c>
    </row>
    <row r="393" spans="1:9">
      <c r="A393" s="30" t="s">
        <v>619</v>
      </c>
      <c r="B393" s="30" t="s">
        <v>917</v>
      </c>
      <c r="C393" s="30">
        <v>3</v>
      </c>
      <c r="D393" s="30">
        <v>661</v>
      </c>
      <c r="E393" s="30">
        <v>1982.4</v>
      </c>
      <c r="F393" s="30" t="s">
        <v>626</v>
      </c>
      <c r="G393" s="30" t="s">
        <v>663</v>
      </c>
      <c r="H393" s="30">
        <v>1.0986119999999999</v>
      </c>
      <c r="I393" s="30">
        <v>6.493754</v>
      </c>
    </row>
    <row r="394" spans="1:9">
      <c r="A394" s="30" t="s">
        <v>619</v>
      </c>
      <c r="B394" s="30" t="s">
        <v>918</v>
      </c>
      <c r="C394" s="30">
        <v>8</v>
      </c>
      <c r="D394" s="30">
        <v>553</v>
      </c>
      <c r="E394" s="30">
        <v>4424</v>
      </c>
      <c r="F394" s="30" t="s">
        <v>621</v>
      </c>
      <c r="G394" s="30" t="s">
        <v>624</v>
      </c>
      <c r="H394" s="30">
        <v>2.0794419999999998</v>
      </c>
      <c r="I394" s="30">
        <v>6.3153579999999998</v>
      </c>
    </row>
    <row r="395" spans="1:9">
      <c r="A395" s="30" t="s">
        <v>619</v>
      </c>
      <c r="B395" s="30" t="s">
        <v>919</v>
      </c>
      <c r="C395" s="30">
        <v>1</v>
      </c>
      <c r="D395" s="30">
        <v>27</v>
      </c>
      <c r="E395" s="30">
        <v>27</v>
      </c>
      <c r="F395" s="30" t="s">
        <v>626</v>
      </c>
      <c r="G395" s="30" t="s">
        <v>638</v>
      </c>
      <c r="H395" s="30">
        <v>0</v>
      </c>
      <c r="I395" s="30">
        <v>3.2958370000000001</v>
      </c>
    </row>
    <row r="396" spans="1:9">
      <c r="A396" s="30" t="s">
        <v>619</v>
      </c>
      <c r="B396" s="30" t="s">
        <v>920</v>
      </c>
      <c r="C396" s="30">
        <v>4</v>
      </c>
      <c r="D396" s="30">
        <v>34</v>
      </c>
      <c r="E396" s="30">
        <v>136</v>
      </c>
      <c r="F396" s="30" t="s">
        <v>626</v>
      </c>
      <c r="G396" s="30" t="s">
        <v>663</v>
      </c>
      <c r="H396" s="30">
        <v>1.3862939999999999</v>
      </c>
      <c r="I396" s="30">
        <v>3.5263610000000001</v>
      </c>
    </row>
    <row r="397" spans="1:9">
      <c r="A397" s="30" t="s">
        <v>619</v>
      </c>
      <c r="B397" s="30" t="s">
        <v>921</v>
      </c>
      <c r="C397" s="30">
        <v>5</v>
      </c>
      <c r="D397" s="30">
        <v>3715</v>
      </c>
      <c r="E397" s="30">
        <v>18568</v>
      </c>
      <c r="F397" s="30" t="s">
        <v>621</v>
      </c>
      <c r="G397" s="30" t="s">
        <v>638</v>
      </c>
      <c r="H397" s="30">
        <v>1.6094379999999999</v>
      </c>
      <c r="I397" s="30">
        <v>8.2201339999999998</v>
      </c>
    </row>
    <row r="398" spans="1:9">
      <c r="A398" s="30" t="s">
        <v>619</v>
      </c>
      <c r="B398" s="30" t="s">
        <v>922</v>
      </c>
      <c r="C398" s="30">
        <v>4</v>
      </c>
      <c r="D398" s="30">
        <v>6314</v>
      </c>
      <c r="E398" s="30">
        <v>25247.599999999999</v>
      </c>
      <c r="F398" s="30" t="s">
        <v>621</v>
      </c>
      <c r="G398" s="30" t="s">
        <v>638</v>
      </c>
      <c r="H398" s="30">
        <v>1.3862939999999999</v>
      </c>
      <c r="I398" s="30">
        <v>8.7505249999999997</v>
      </c>
    </row>
    <row r="399" spans="1:9">
      <c r="A399" s="30" t="s">
        <v>619</v>
      </c>
      <c r="B399" s="30" t="s">
        <v>923</v>
      </c>
      <c r="C399" s="30">
        <v>3</v>
      </c>
      <c r="D399" s="30">
        <v>68</v>
      </c>
      <c r="E399" s="30">
        <v>204</v>
      </c>
      <c r="F399" s="30" t="s">
        <v>621</v>
      </c>
      <c r="G399" s="30" t="s">
        <v>648</v>
      </c>
      <c r="H399" s="30">
        <v>1.0986119999999999</v>
      </c>
      <c r="I399" s="30">
        <v>4.2195080000000003</v>
      </c>
    </row>
    <row r="400" spans="1:9">
      <c r="A400" s="30" t="s">
        <v>619</v>
      </c>
      <c r="B400" s="30" t="s">
        <v>924</v>
      </c>
      <c r="C400" s="30">
        <v>1.5</v>
      </c>
      <c r="D400" s="30">
        <v>249</v>
      </c>
      <c r="E400" s="30">
        <v>361.65</v>
      </c>
      <c r="F400" s="30" t="s">
        <v>626</v>
      </c>
      <c r="G400" s="30" t="s">
        <v>627</v>
      </c>
      <c r="H400" s="30">
        <v>0.40546500000000002</v>
      </c>
      <c r="I400" s="30">
        <v>5.5174529999999997</v>
      </c>
    </row>
    <row r="401" spans="1:9">
      <c r="A401" s="30" t="s">
        <v>619</v>
      </c>
      <c r="B401" s="30" t="s">
        <v>925</v>
      </c>
      <c r="C401" s="30">
        <v>1.5</v>
      </c>
      <c r="D401" s="30">
        <v>524</v>
      </c>
      <c r="E401" s="30">
        <v>785.4</v>
      </c>
      <c r="F401" s="30" t="s">
        <v>626</v>
      </c>
      <c r="G401" s="30" t="s">
        <v>627</v>
      </c>
      <c r="H401" s="30">
        <v>0.40546500000000002</v>
      </c>
      <c r="I401" s="30">
        <v>6.2614919999999996</v>
      </c>
    </row>
    <row r="402" spans="1:9">
      <c r="A402" s="30" t="s">
        <v>619</v>
      </c>
      <c r="B402" s="30" t="s">
        <v>926</v>
      </c>
      <c r="C402" s="30">
        <v>3</v>
      </c>
      <c r="D402" s="30">
        <v>1467</v>
      </c>
      <c r="E402" s="30">
        <v>4401</v>
      </c>
      <c r="F402" s="30" t="s">
        <v>621</v>
      </c>
      <c r="G402" s="30" t="s">
        <v>624</v>
      </c>
      <c r="H402" s="30">
        <v>1.0986119999999999</v>
      </c>
      <c r="I402" s="30">
        <v>7.2909750000000004</v>
      </c>
    </row>
    <row r="403" spans="1:9">
      <c r="A403" s="30" t="s">
        <v>619</v>
      </c>
      <c r="B403" s="30" t="s">
        <v>927</v>
      </c>
      <c r="C403" s="30">
        <v>1.5</v>
      </c>
      <c r="D403" s="30">
        <v>96</v>
      </c>
      <c r="E403" s="30">
        <v>143.69999999999999</v>
      </c>
      <c r="F403" s="30" t="s">
        <v>626</v>
      </c>
      <c r="G403" s="30" t="s">
        <v>627</v>
      </c>
      <c r="H403" s="30">
        <v>0.40546500000000002</v>
      </c>
      <c r="I403" s="30">
        <v>4.5643479999999998</v>
      </c>
    </row>
    <row r="404" spans="1:9">
      <c r="A404" s="30" t="s">
        <v>619</v>
      </c>
      <c r="B404" s="30" t="s">
        <v>928</v>
      </c>
      <c r="C404" s="30">
        <v>3</v>
      </c>
      <c r="D404" s="30">
        <v>1910</v>
      </c>
      <c r="E404" s="30">
        <v>5720.1</v>
      </c>
      <c r="F404" s="30" t="s">
        <v>621</v>
      </c>
      <c r="G404" s="30" t="s">
        <v>638</v>
      </c>
      <c r="H404" s="30">
        <v>1.0986119999999999</v>
      </c>
      <c r="I404" s="30">
        <v>7.5548590000000004</v>
      </c>
    </row>
    <row r="405" spans="1:9">
      <c r="A405" s="30" t="s">
        <v>619</v>
      </c>
      <c r="B405" s="30" t="s">
        <v>929</v>
      </c>
      <c r="C405" s="30">
        <v>2</v>
      </c>
      <c r="D405" s="30">
        <v>2704</v>
      </c>
      <c r="E405" s="30">
        <v>5359</v>
      </c>
      <c r="F405" s="30" t="s">
        <v>621</v>
      </c>
      <c r="G405" s="30" t="s">
        <v>638</v>
      </c>
      <c r="H405" s="30">
        <v>0.69314699999999996</v>
      </c>
      <c r="I405" s="30">
        <v>7.9024869999999998</v>
      </c>
    </row>
    <row r="406" spans="1:9">
      <c r="A406" s="30" t="s">
        <v>619</v>
      </c>
      <c r="B406" s="30" t="s">
        <v>930</v>
      </c>
      <c r="C406" s="30">
        <v>3</v>
      </c>
      <c r="D406" s="30">
        <v>65</v>
      </c>
      <c r="E406" s="30">
        <v>195</v>
      </c>
      <c r="F406" s="30" t="s">
        <v>621</v>
      </c>
      <c r="G406" s="30" t="s">
        <v>371</v>
      </c>
      <c r="H406" s="30">
        <v>1.0986119999999999</v>
      </c>
      <c r="I406" s="30">
        <v>4.1743870000000003</v>
      </c>
    </row>
    <row r="407" spans="1:9">
      <c r="A407" s="30" t="s">
        <v>619</v>
      </c>
      <c r="B407" s="30" t="s">
        <v>931</v>
      </c>
      <c r="C407" s="30">
        <v>3</v>
      </c>
      <c r="D407" s="30">
        <v>44</v>
      </c>
      <c r="E407" s="30">
        <v>132</v>
      </c>
      <c r="F407" s="30" t="s">
        <v>621</v>
      </c>
      <c r="G407" s="30" t="s">
        <v>624</v>
      </c>
      <c r="H407" s="30">
        <v>1.0986119999999999</v>
      </c>
      <c r="I407" s="30">
        <v>3.7841900000000002</v>
      </c>
    </row>
    <row r="408" spans="1:9">
      <c r="A408" s="30" t="s">
        <v>619</v>
      </c>
      <c r="B408" s="30" t="s">
        <v>932</v>
      </c>
      <c r="C408" s="30">
        <v>3</v>
      </c>
      <c r="D408" s="30">
        <v>1511</v>
      </c>
      <c r="E408" s="30">
        <v>4514.7</v>
      </c>
      <c r="F408" s="30" t="s">
        <v>621</v>
      </c>
      <c r="G408" s="30" t="s">
        <v>638</v>
      </c>
      <c r="H408" s="30">
        <v>1.0986119999999999</v>
      </c>
      <c r="I408" s="30">
        <v>7.3205270000000002</v>
      </c>
    </row>
    <row r="409" spans="1:9">
      <c r="A409" s="30" t="s">
        <v>619</v>
      </c>
      <c r="B409" s="30" t="s">
        <v>933</v>
      </c>
      <c r="C409" s="30">
        <v>2</v>
      </c>
      <c r="D409" s="30">
        <v>3314</v>
      </c>
      <c r="E409" s="30">
        <v>6597.8</v>
      </c>
      <c r="F409" s="30" t="s">
        <v>621</v>
      </c>
      <c r="G409" s="30" t="s">
        <v>638</v>
      </c>
      <c r="H409" s="30">
        <v>0.69314699999999996</v>
      </c>
      <c r="I409" s="30">
        <v>8.1059110000000008</v>
      </c>
    </row>
    <row r="410" spans="1:9">
      <c r="A410" s="30" t="s">
        <v>619</v>
      </c>
      <c r="B410" s="30" t="s">
        <v>934</v>
      </c>
      <c r="C410" s="30">
        <v>1.5</v>
      </c>
      <c r="D410" s="30">
        <v>197</v>
      </c>
      <c r="E410" s="30">
        <v>293.7</v>
      </c>
      <c r="F410" s="30" t="s">
        <v>626</v>
      </c>
      <c r="G410" s="30" t="s">
        <v>627</v>
      </c>
      <c r="H410" s="30">
        <v>0.40546500000000002</v>
      </c>
      <c r="I410" s="30">
        <v>5.2832039999999996</v>
      </c>
    </row>
    <row r="411" spans="1:9">
      <c r="A411" s="30" t="s">
        <v>619</v>
      </c>
      <c r="B411" s="30" t="s">
        <v>935</v>
      </c>
      <c r="C411" s="30">
        <v>1.5</v>
      </c>
      <c r="D411" s="30">
        <v>222</v>
      </c>
      <c r="E411" s="30">
        <v>302.10000000000002</v>
      </c>
      <c r="F411" s="30" t="s">
        <v>626</v>
      </c>
      <c r="G411" s="30" t="s">
        <v>627</v>
      </c>
      <c r="H411" s="30">
        <v>0.40546500000000002</v>
      </c>
      <c r="I411" s="30">
        <v>5.4026769999999997</v>
      </c>
    </row>
    <row r="412" spans="1:9">
      <c r="A412" s="30" t="s">
        <v>619</v>
      </c>
      <c r="B412" s="30" t="s">
        <v>936</v>
      </c>
      <c r="C412" s="30">
        <v>2</v>
      </c>
      <c r="D412" s="30">
        <v>2</v>
      </c>
      <c r="E412" s="30">
        <v>2</v>
      </c>
      <c r="F412" s="30" t="s">
        <v>626</v>
      </c>
      <c r="G412" s="30" t="s">
        <v>627</v>
      </c>
      <c r="H412" s="30">
        <v>0.69314699999999996</v>
      </c>
      <c r="I412" s="30">
        <v>0.69314699999999996</v>
      </c>
    </row>
    <row r="413" spans="1:9">
      <c r="A413" s="30" t="s">
        <v>619</v>
      </c>
      <c r="B413" s="30" t="s">
        <v>937</v>
      </c>
      <c r="C413" s="30">
        <v>3</v>
      </c>
      <c r="D413" s="30">
        <v>1362</v>
      </c>
      <c r="E413" s="30">
        <v>680.8</v>
      </c>
      <c r="F413" s="30" t="s">
        <v>626</v>
      </c>
      <c r="G413" s="30" t="s">
        <v>627</v>
      </c>
      <c r="H413" s="30">
        <v>1.0986119999999999</v>
      </c>
      <c r="I413" s="30">
        <v>7.2167089999999998</v>
      </c>
    </row>
    <row r="414" spans="1:9">
      <c r="A414" s="30" t="s">
        <v>619</v>
      </c>
      <c r="B414" s="30" t="s">
        <v>938</v>
      </c>
      <c r="C414" s="30">
        <v>5</v>
      </c>
      <c r="D414" s="30">
        <v>6556</v>
      </c>
      <c r="E414" s="30">
        <v>32711.75</v>
      </c>
      <c r="F414" s="30" t="s">
        <v>621</v>
      </c>
      <c r="G414" s="30" t="s">
        <v>638</v>
      </c>
      <c r="H414" s="30">
        <v>1.6094379999999999</v>
      </c>
      <c r="I414" s="30">
        <v>8.7881359999999997</v>
      </c>
    </row>
    <row r="415" spans="1:9">
      <c r="A415" s="30" t="s">
        <v>619</v>
      </c>
      <c r="B415" s="30" t="s">
        <v>939</v>
      </c>
      <c r="C415" s="30">
        <v>4</v>
      </c>
      <c r="D415" s="30">
        <v>7284</v>
      </c>
      <c r="E415" s="30">
        <v>29000.400000000001</v>
      </c>
      <c r="F415" s="30" t="s">
        <v>621</v>
      </c>
      <c r="G415" s="30" t="s">
        <v>638</v>
      </c>
      <c r="H415" s="30">
        <v>1.3862939999999999</v>
      </c>
      <c r="I415" s="30">
        <v>8.8934350000000002</v>
      </c>
    </row>
    <row r="416" spans="1:9">
      <c r="A416" s="30" t="s">
        <v>619</v>
      </c>
      <c r="B416" s="30" t="s">
        <v>940</v>
      </c>
      <c r="C416" s="30">
        <v>2</v>
      </c>
      <c r="D416" s="30">
        <v>80</v>
      </c>
      <c r="E416" s="30">
        <v>160</v>
      </c>
      <c r="F416" s="30" t="s">
        <v>621</v>
      </c>
      <c r="G416" s="30" t="s">
        <v>648</v>
      </c>
      <c r="H416" s="30">
        <v>0.69314699999999996</v>
      </c>
      <c r="I416" s="30">
        <v>4.3820269999999999</v>
      </c>
    </row>
    <row r="417" spans="1:9">
      <c r="A417" s="30" t="s">
        <v>619</v>
      </c>
      <c r="B417" s="30" t="s">
        <v>941</v>
      </c>
      <c r="C417" s="30">
        <v>3</v>
      </c>
      <c r="D417" s="30">
        <v>40</v>
      </c>
      <c r="E417" s="30">
        <v>120</v>
      </c>
      <c r="F417" s="30" t="s">
        <v>621</v>
      </c>
      <c r="G417" s="30" t="s">
        <v>698</v>
      </c>
      <c r="H417" s="30">
        <v>1.0986119999999999</v>
      </c>
      <c r="I417" s="30">
        <v>3.688879</v>
      </c>
    </row>
    <row r="418" spans="1:9">
      <c r="A418" s="30" t="s">
        <v>619</v>
      </c>
      <c r="B418" s="30" t="s">
        <v>942</v>
      </c>
      <c r="C418" s="30">
        <v>5</v>
      </c>
      <c r="D418" s="30">
        <v>89</v>
      </c>
      <c r="E418" s="30">
        <v>444.25</v>
      </c>
      <c r="F418" s="30" t="s">
        <v>621</v>
      </c>
      <c r="G418" s="30" t="s">
        <v>648</v>
      </c>
      <c r="H418" s="30">
        <v>1.6094379999999999</v>
      </c>
      <c r="I418" s="30">
        <v>4.4886359999999996</v>
      </c>
    </row>
    <row r="419" spans="1:9">
      <c r="A419" s="30" t="s">
        <v>619</v>
      </c>
      <c r="B419" s="30" t="s">
        <v>943</v>
      </c>
      <c r="C419" s="30">
        <v>3</v>
      </c>
      <c r="D419" s="30">
        <v>949</v>
      </c>
      <c r="E419" s="30">
        <v>2847</v>
      </c>
      <c r="F419" s="30" t="s">
        <v>621</v>
      </c>
      <c r="G419" s="30" t="s">
        <v>624</v>
      </c>
      <c r="H419" s="30">
        <v>1.0986119999999999</v>
      </c>
      <c r="I419" s="30">
        <v>6.8554089999999999</v>
      </c>
    </row>
    <row r="420" spans="1:9">
      <c r="A420" s="30" t="s">
        <v>619</v>
      </c>
      <c r="B420" s="30" t="s">
        <v>944</v>
      </c>
      <c r="C420" s="30">
        <v>3</v>
      </c>
      <c r="D420" s="30">
        <v>612</v>
      </c>
      <c r="E420" s="30">
        <v>1827.9</v>
      </c>
      <c r="F420" s="30" t="s">
        <v>621</v>
      </c>
      <c r="G420" s="30" t="s">
        <v>638</v>
      </c>
      <c r="H420" s="30">
        <v>1.0986119999999999</v>
      </c>
      <c r="I420" s="30">
        <v>6.4167319999999997</v>
      </c>
    </row>
    <row r="421" spans="1:9">
      <c r="A421" s="30" t="s">
        <v>619</v>
      </c>
      <c r="B421" s="30" t="s">
        <v>945</v>
      </c>
      <c r="C421" s="30">
        <v>2</v>
      </c>
      <c r="D421" s="30">
        <v>1457</v>
      </c>
      <c r="E421" s="30">
        <v>2819.5</v>
      </c>
      <c r="F421" s="30" t="s">
        <v>621</v>
      </c>
      <c r="G421" s="30" t="s">
        <v>946</v>
      </c>
      <c r="H421" s="30">
        <v>0.69314699999999996</v>
      </c>
      <c r="I421" s="30">
        <v>7.284135</v>
      </c>
    </row>
    <row r="422" spans="1:9">
      <c r="A422" s="30" t="s">
        <v>619</v>
      </c>
      <c r="B422" s="30" t="s">
        <v>947</v>
      </c>
      <c r="C422" s="30">
        <v>5</v>
      </c>
      <c r="D422" s="30">
        <v>98</v>
      </c>
      <c r="E422" s="30">
        <v>490</v>
      </c>
      <c r="F422" s="30" t="s">
        <v>621</v>
      </c>
      <c r="G422" s="30" t="s">
        <v>648</v>
      </c>
      <c r="H422" s="30">
        <v>1.6094379999999999</v>
      </c>
      <c r="I422" s="30">
        <v>4.5849669999999998</v>
      </c>
    </row>
    <row r="423" spans="1:9">
      <c r="A423" s="30" t="s">
        <v>619</v>
      </c>
      <c r="B423" s="30" t="s">
        <v>948</v>
      </c>
      <c r="C423" s="30">
        <v>3</v>
      </c>
      <c r="D423" s="30">
        <v>536</v>
      </c>
      <c r="E423" s="30">
        <v>1608</v>
      </c>
      <c r="F423" s="30" t="s">
        <v>621</v>
      </c>
      <c r="G423" s="30" t="s">
        <v>624</v>
      </c>
      <c r="H423" s="30">
        <v>1.0986119999999999</v>
      </c>
      <c r="I423" s="30">
        <v>6.2841339999999999</v>
      </c>
    </row>
    <row r="424" spans="1:9">
      <c r="A424" s="30" t="s">
        <v>619</v>
      </c>
      <c r="B424" s="30" t="s">
        <v>949</v>
      </c>
      <c r="C424" s="30">
        <v>3</v>
      </c>
      <c r="D424" s="30">
        <v>21</v>
      </c>
      <c r="E424" s="30">
        <v>63</v>
      </c>
      <c r="F424" s="30" t="s">
        <v>621</v>
      </c>
      <c r="G424" s="30" t="s">
        <v>698</v>
      </c>
      <c r="H424" s="30">
        <v>1.0986119999999999</v>
      </c>
      <c r="I424" s="30">
        <v>3.0445220000000002</v>
      </c>
    </row>
    <row r="425" spans="1:9">
      <c r="A425" s="30" t="s">
        <v>619</v>
      </c>
      <c r="B425" s="30" t="s">
        <v>950</v>
      </c>
      <c r="C425" s="30">
        <v>3</v>
      </c>
      <c r="D425" s="30">
        <v>145</v>
      </c>
      <c r="E425" s="30">
        <v>435</v>
      </c>
      <c r="F425" s="30" t="s">
        <v>621</v>
      </c>
      <c r="G425" s="30" t="s">
        <v>624</v>
      </c>
      <c r="H425" s="30">
        <v>1.0986119999999999</v>
      </c>
      <c r="I425" s="30">
        <v>4.9767340000000004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6F1-BA05-44A1-A33F-AE5569B2F16A}">
  <dimension ref="A1:E21"/>
  <sheetViews>
    <sheetView workbookViewId="0">
      <selection activeCell="F3" sqref="F3"/>
    </sheetView>
  </sheetViews>
  <sheetFormatPr defaultRowHeight="15"/>
  <cols>
    <col min="2" max="2" width="17.28515625" customWidth="1"/>
    <col min="3" max="3" width="19.5703125" customWidth="1"/>
    <col min="4" max="4" width="25.7109375" customWidth="1"/>
    <col min="5" max="5" width="16.7109375" customWidth="1"/>
  </cols>
  <sheetData>
    <row r="1" spans="1:5">
      <c r="A1" s="28" t="s">
        <v>952</v>
      </c>
      <c r="B1" s="29" t="s">
        <v>953</v>
      </c>
      <c r="C1" s="29" t="s">
        <v>954</v>
      </c>
      <c r="D1" s="29" t="s">
        <v>955</v>
      </c>
      <c r="E1" s="29" t="s">
        <v>956</v>
      </c>
    </row>
    <row r="2" spans="1:5">
      <c r="A2" s="30" t="s">
        <v>516</v>
      </c>
      <c r="B2" s="30">
        <v>8</v>
      </c>
      <c r="C2" s="30">
        <v>498</v>
      </c>
      <c r="D2" s="30">
        <v>98282.63</v>
      </c>
      <c r="E2" s="30">
        <v>197.35470000000001</v>
      </c>
    </row>
    <row r="3" spans="1:5">
      <c r="A3" s="30" t="s">
        <v>510</v>
      </c>
      <c r="B3" s="30">
        <v>1</v>
      </c>
      <c r="C3" s="30">
        <v>69</v>
      </c>
      <c r="D3" s="30">
        <v>21747</v>
      </c>
      <c r="E3" s="30">
        <v>315.1739</v>
      </c>
    </row>
    <row r="4" spans="1:5">
      <c r="A4" s="30" t="s">
        <v>197</v>
      </c>
      <c r="B4" s="30">
        <v>2</v>
      </c>
      <c r="C4" s="30">
        <v>105</v>
      </c>
      <c r="D4" s="30">
        <v>29069</v>
      </c>
      <c r="E4" s="30">
        <v>276.8476</v>
      </c>
    </row>
    <row r="5" spans="1:5">
      <c r="A5" s="30" t="s">
        <v>520</v>
      </c>
      <c r="B5" s="30">
        <v>1</v>
      </c>
      <c r="C5" s="30">
        <v>36</v>
      </c>
      <c r="D5" s="30">
        <v>6938</v>
      </c>
      <c r="E5" s="30">
        <v>192.72219999999999</v>
      </c>
    </row>
    <row r="6" spans="1:5">
      <c r="A6" s="30" t="s">
        <v>211</v>
      </c>
      <c r="B6" s="30">
        <v>2</v>
      </c>
      <c r="C6" s="30">
        <v>84</v>
      </c>
      <c r="D6" s="30">
        <v>18036.009999999998</v>
      </c>
      <c r="E6" s="30">
        <v>214.71440000000001</v>
      </c>
    </row>
    <row r="7" spans="1:5">
      <c r="A7" s="30" t="s">
        <v>546</v>
      </c>
      <c r="B7" s="30">
        <v>2</v>
      </c>
      <c r="C7" s="30">
        <v>115</v>
      </c>
      <c r="D7" s="30">
        <v>33792</v>
      </c>
      <c r="E7" s="30">
        <v>293.84350000000001</v>
      </c>
    </row>
    <row r="8" spans="1:5">
      <c r="A8" s="30" t="s">
        <v>524</v>
      </c>
      <c r="B8" s="30">
        <v>1</v>
      </c>
      <c r="C8" s="30">
        <v>44</v>
      </c>
      <c r="D8" s="30">
        <v>17092.5</v>
      </c>
      <c r="E8" s="30">
        <v>388.46589999999998</v>
      </c>
    </row>
    <row r="9" spans="1:5">
      <c r="A9" s="30" t="s">
        <v>539</v>
      </c>
      <c r="B9" s="30">
        <v>4</v>
      </c>
      <c r="C9" s="30">
        <v>139</v>
      </c>
      <c r="D9" s="30">
        <v>54402.2</v>
      </c>
      <c r="E9" s="30">
        <v>391.3827</v>
      </c>
    </row>
    <row r="10" spans="1:5">
      <c r="A10" s="30" t="s">
        <v>526</v>
      </c>
      <c r="B10" s="30">
        <v>1</v>
      </c>
      <c r="C10" s="30">
        <v>26</v>
      </c>
      <c r="D10" s="30">
        <v>3933.5</v>
      </c>
      <c r="E10" s="30">
        <v>151.2885</v>
      </c>
    </row>
    <row r="11" spans="1:5">
      <c r="A11" s="30" t="s">
        <v>537</v>
      </c>
      <c r="B11" s="30">
        <v>4</v>
      </c>
      <c r="C11" s="30">
        <v>175</v>
      </c>
      <c r="D11" s="30">
        <v>66686</v>
      </c>
      <c r="E11" s="30">
        <v>381.06290000000001</v>
      </c>
    </row>
    <row r="12" spans="1:5">
      <c r="A12" s="30" t="s">
        <v>512</v>
      </c>
      <c r="B12" s="30">
        <v>2</v>
      </c>
      <c r="C12" s="30">
        <v>88</v>
      </c>
      <c r="D12" s="30">
        <v>31615.72</v>
      </c>
      <c r="E12" s="30">
        <v>359.26949999999999</v>
      </c>
    </row>
    <row r="13" spans="1:5">
      <c r="A13" s="30" t="s">
        <v>339</v>
      </c>
      <c r="B13" s="30">
        <v>6</v>
      </c>
      <c r="C13" s="30">
        <v>206</v>
      </c>
      <c r="D13" s="30">
        <v>158321.9</v>
      </c>
      <c r="E13" s="30">
        <v>768.553</v>
      </c>
    </row>
    <row r="14" spans="1:5">
      <c r="A14" s="30" t="s">
        <v>514</v>
      </c>
      <c r="B14" s="30">
        <v>2</v>
      </c>
      <c r="C14" s="30">
        <v>41</v>
      </c>
      <c r="D14" s="30">
        <v>15115</v>
      </c>
      <c r="E14" s="30">
        <v>368.6585</v>
      </c>
    </row>
    <row r="15" spans="1:5">
      <c r="A15" s="30" t="s">
        <v>364</v>
      </c>
      <c r="B15" s="30">
        <v>6</v>
      </c>
      <c r="C15" s="30">
        <v>139</v>
      </c>
      <c r="D15" s="30">
        <v>100435.9</v>
      </c>
      <c r="E15" s="30">
        <v>722.56029999999998</v>
      </c>
    </row>
    <row r="16" spans="1:5">
      <c r="A16" s="30" t="s">
        <v>372</v>
      </c>
      <c r="B16" s="30">
        <v>1</v>
      </c>
      <c r="C16" s="30">
        <v>46</v>
      </c>
      <c r="D16" s="30">
        <v>9369.2900000000009</v>
      </c>
      <c r="E16" s="30">
        <v>203.68020000000001</v>
      </c>
    </row>
    <row r="17" spans="1:5">
      <c r="A17" s="30" t="s">
        <v>528</v>
      </c>
      <c r="B17" s="30">
        <v>1</v>
      </c>
      <c r="C17" s="30">
        <v>37</v>
      </c>
      <c r="D17" s="30">
        <v>10559.75</v>
      </c>
      <c r="E17" s="30">
        <v>285.39859999999999</v>
      </c>
    </row>
    <row r="18" spans="1:5">
      <c r="A18" s="30" t="s">
        <v>552</v>
      </c>
      <c r="B18" s="30">
        <v>1</v>
      </c>
      <c r="C18" s="30">
        <v>45</v>
      </c>
      <c r="D18" s="30">
        <v>7355</v>
      </c>
      <c r="E18" s="30">
        <v>163.4444</v>
      </c>
    </row>
    <row r="19" spans="1:5">
      <c r="A19" s="30" t="s">
        <v>407</v>
      </c>
      <c r="B19" s="30">
        <v>1</v>
      </c>
      <c r="C19" s="30">
        <v>46</v>
      </c>
      <c r="D19" s="30">
        <v>6550</v>
      </c>
      <c r="E19" s="30">
        <v>142.3913</v>
      </c>
    </row>
    <row r="20" spans="1:5">
      <c r="A20" s="30" t="s">
        <v>530</v>
      </c>
      <c r="B20" s="30">
        <v>1</v>
      </c>
      <c r="C20" s="30">
        <v>43</v>
      </c>
      <c r="D20" s="30">
        <v>8483.5</v>
      </c>
      <c r="E20" s="30">
        <v>197.29069999999999</v>
      </c>
    </row>
    <row r="21" spans="1:5">
      <c r="A21" s="30" t="s">
        <v>570</v>
      </c>
      <c r="B21" s="30">
        <v>1</v>
      </c>
      <c r="C21" s="30">
        <v>54</v>
      </c>
      <c r="D21" s="30">
        <v>12513</v>
      </c>
      <c r="E21" s="30">
        <v>231.72219999999999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1BDF-E91C-400C-83E7-13D3809C2A51}">
  <dimension ref="A1:E74"/>
  <sheetViews>
    <sheetView topLeftCell="A2" workbookViewId="0"/>
  </sheetViews>
  <sheetFormatPr defaultRowHeight="15"/>
  <cols>
    <col min="2" max="2" width="18" customWidth="1"/>
    <col min="3" max="3" width="13.140625" customWidth="1"/>
    <col min="4" max="4" width="16.7109375" customWidth="1"/>
    <col min="5" max="5" width="24.85546875" customWidth="1"/>
  </cols>
  <sheetData>
    <row r="1" spans="1:5">
      <c r="A1" s="28" t="s">
        <v>957</v>
      </c>
      <c r="B1" s="29" t="s">
        <v>958</v>
      </c>
      <c r="C1" s="29" t="s">
        <v>959</v>
      </c>
      <c r="D1" s="29" t="s">
        <v>960</v>
      </c>
      <c r="E1" s="29" t="s">
        <v>961</v>
      </c>
    </row>
    <row r="2" spans="1:5">
      <c r="A2" s="30" t="s">
        <v>611</v>
      </c>
      <c r="B2" s="30">
        <v>1</v>
      </c>
      <c r="C2" s="30">
        <v>216</v>
      </c>
      <c r="D2" s="30">
        <v>10750</v>
      </c>
      <c r="E2" s="30">
        <v>10750</v>
      </c>
    </row>
    <row r="3" spans="1:5">
      <c r="A3" s="30" t="s">
        <v>605</v>
      </c>
      <c r="B3" s="30">
        <v>1</v>
      </c>
      <c r="C3" s="30">
        <v>671</v>
      </c>
      <c r="D3" s="30">
        <v>26840</v>
      </c>
      <c r="E3" s="30">
        <v>26840</v>
      </c>
    </row>
    <row r="4" spans="1:5">
      <c r="A4" s="30" t="s">
        <v>600</v>
      </c>
      <c r="B4" s="30">
        <v>1</v>
      </c>
      <c r="C4" s="30">
        <v>532</v>
      </c>
      <c r="D4" s="30">
        <v>15930</v>
      </c>
      <c r="E4" s="30">
        <v>15930</v>
      </c>
    </row>
    <row r="5" spans="1:5">
      <c r="A5" s="30" t="s">
        <v>962</v>
      </c>
      <c r="B5" s="30">
        <v>1</v>
      </c>
      <c r="C5" s="30">
        <v>27</v>
      </c>
      <c r="D5" s="30">
        <v>20</v>
      </c>
      <c r="E5" s="30">
        <v>0</v>
      </c>
    </row>
    <row r="6" spans="1:5">
      <c r="A6" s="30" t="s">
        <v>963</v>
      </c>
      <c r="B6" s="30">
        <v>1</v>
      </c>
      <c r="C6" s="30">
        <v>1439</v>
      </c>
      <c r="D6" s="30">
        <v>0</v>
      </c>
      <c r="E6" s="30">
        <v>0</v>
      </c>
    </row>
    <row r="7" spans="1:5">
      <c r="A7" s="30" t="s">
        <v>615</v>
      </c>
      <c r="B7" s="30">
        <v>1</v>
      </c>
      <c r="C7" s="30">
        <v>1369</v>
      </c>
      <c r="D7" s="30">
        <v>15150</v>
      </c>
      <c r="E7" s="30">
        <v>82080</v>
      </c>
    </row>
    <row r="8" spans="1:5">
      <c r="A8" s="30" t="s">
        <v>601</v>
      </c>
      <c r="B8" s="30">
        <v>1</v>
      </c>
      <c r="C8" s="30">
        <v>169</v>
      </c>
      <c r="D8" s="30">
        <v>195</v>
      </c>
      <c r="E8" s="30">
        <v>5070</v>
      </c>
    </row>
    <row r="9" spans="1:5">
      <c r="A9" s="30" t="s">
        <v>612</v>
      </c>
      <c r="B9" s="30">
        <v>1</v>
      </c>
      <c r="C9" s="30">
        <v>2756</v>
      </c>
      <c r="D9" s="30">
        <v>26675</v>
      </c>
      <c r="E9" s="30">
        <v>137600</v>
      </c>
    </row>
    <row r="10" spans="1:5">
      <c r="A10" s="30" t="s">
        <v>597</v>
      </c>
      <c r="B10" s="30">
        <v>1</v>
      </c>
      <c r="C10" s="30">
        <v>318</v>
      </c>
      <c r="D10" s="30">
        <v>500</v>
      </c>
      <c r="E10" s="30">
        <v>7950</v>
      </c>
    </row>
    <row r="11" spans="1:5">
      <c r="A11" s="30" t="s">
        <v>590</v>
      </c>
      <c r="B11" s="30">
        <v>1</v>
      </c>
      <c r="C11" s="30">
        <v>1532</v>
      </c>
      <c r="D11" s="30">
        <v>9560</v>
      </c>
      <c r="E11" s="30">
        <v>30540</v>
      </c>
    </row>
    <row r="12" spans="1:5">
      <c r="A12" s="30" t="s">
        <v>573</v>
      </c>
      <c r="B12" s="30">
        <v>1</v>
      </c>
      <c r="C12" s="30">
        <v>494</v>
      </c>
      <c r="D12" s="30">
        <v>990</v>
      </c>
      <c r="E12" s="30">
        <v>4940</v>
      </c>
    </row>
    <row r="13" spans="1:5">
      <c r="A13" s="30" t="s">
        <v>607</v>
      </c>
      <c r="B13" s="30">
        <v>1</v>
      </c>
      <c r="C13" s="30">
        <v>265</v>
      </c>
      <c r="D13" s="30">
        <v>13250</v>
      </c>
      <c r="E13" s="30">
        <v>10600</v>
      </c>
    </row>
    <row r="14" spans="1:5">
      <c r="A14" s="30" t="s">
        <v>613</v>
      </c>
      <c r="B14" s="30">
        <v>1</v>
      </c>
      <c r="C14" s="30">
        <v>726</v>
      </c>
      <c r="D14" s="30">
        <v>29000</v>
      </c>
      <c r="E14" s="30">
        <v>36250</v>
      </c>
    </row>
    <row r="15" spans="1:5">
      <c r="A15" s="30" t="s">
        <v>603</v>
      </c>
      <c r="B15" s="30">
        <v>2</v>
      </c>
      <c r="C15" s="30">
        <v>727</v>
      </c>
      <c r="D15" s="30">
        <v>21780</v>
      </c>
      <c r="E15" s="30">
        <v>21810</v>
      </c>
    </row>
    <row r="16" spans="1:5">
      <c r="A16" s="30" t="s">
        <v>964</v>
      </c>
      <c r="B16" s="30">
        <v>1</v>
      </c>
      <c r="C16" s="30">
        <v>34</v>
      </c>
      <c r="D16" s="30">
        <v>0</v>
      </c>
      <c r="E16" s="30">
        <v>0</v>
      </c>
    </row>
    <row r="17" spans="1:5">
      <c r="A17" s="30" t="s">
        <v>965</v>
      </c>
      <c r="B17" s="30">
        <v>1</v>
      </c>
      <c r="C17" s="30">
        <v>1559</v>
      </c>
      <c r="D17" s="30">
        <v>0</v>
      </c>
      <c r="E17" s="30">
        <v>0</v>
      </c>
    </row>
    <row r="18" spans="1:5">
      <c r="A18" s="30" t="s">
        <v>616</v>
      </c>
      <c r="B18" s="30">
        <v>1</v>
      </c>
      <c r="C18" s="30">
        <v>1229</v>
      </c>
      <c r="D18" s="30">
        <v>15330</v>
      </c>
      <c r="E18" s="30">
        <v>73740</v>
      </c>
    </row>
    <row r="19" spans="1:5">
      <c r="A19" s="30" t="s">
        <v>604</v>
      </c>
      <c r="B19" s="30">
        <v>1</v>
      </c>
      <c r="C19" s="30">
        <v>146</v>
      </c>
      <c r="D19" s="30">
        <v>270</v>
      </c>
      <c r="E19" s="30">
        <v>4380</v>
      </c>
    </row>
    <row r="20" spans="1:5">
      <c r="A20" s="30" t="s">
        <v>614</v>
      </c>
      <c r="B20" s="30">
        <v>1</v>
      </c>
      <c r="C20" s="30">
        <v>2712</v>
      </c>
      <c r="D20" s="30">
        <v>25375</v>
      </c>
      <c r="E20" s="30">
        <v>135600</v>
      </c>
    </row>
    <row r="21" spans="1:5">
      <c r="A21" s="30" t="s">
        <v>599</v>
      </c>
      <c r="B21" s="30">
        <v>1</v>
      </c>
      <c r="C21" s="30">
        <v>288</v>
      </c>
      <c r="D21" s="30">
        <v>375</v>
      </c>
      <c r="E21" s="30">
        <v>7200</v>
      </c>
    </row>
    <row r="22" spans="1:5">
      <c r="A22" s="30" t="s">
        <v>608</v>
      </c>
      <c r="B22" s="30">
        <v>1</v>
      </c>
      <c r="C22" s="30">
        <v>1534</v>
      </c>
      <c r="D22" s="30">
        <v>11200</v>
      </c>
      <c r="E22" s="30">
        <v>61360</v>
      </c>
    </row>
    <row r="23" spans="1:5">
      <c r="A23" s="30" t="s">
        <v>595</v>
      </c>
      <c r="B23" s="30">
        <v>1</v>
      </c>
      <c r="C23" s="30">
        <v>439</v>
      </c>
      <c r="D23" s="30">
        <v>970</v>
      </c>
      <c r="E23" s="30">
        <v>8780</v>
      </c>
    </row>
    <row r="24" spans="1:5">
      <c r="A24" s="30" t="s">
        <v>966</v>
      </c>
      <c r="B24" s="30">
        <v>1</v>
      </c>
      <c r="C24" s="30">
        <v>2612</v>
      </c>
      <c r="D24" s="30">
        <v>0</v>
      </c>
      <c r="E24" s="30">
        <v>0</v>
      </c>
    </row>
    <row r="25" spans="1:5">
      <c r="A25" s="30" t="s">
        <v>967</v>
      </c>
      <c r="B25" s="30">
        <v>1</v>
      </c>
      <c r="C25" s="30">
        <v>2487</v>
      </c>
      <c r="D25" s="30">
        <v>0</v>
      </c>
      <c r="E25" s="30">
        <v>0</v>
      </c>
    </row>
    <row r="26" spans="1:5">
      <c r="A26" s="30" t="s">
        <v>968</v>
      </c>
      <c r="B26" s="30">
        <v>1</v>
      </c>
      <c r="C26" s="30">
        <v>3</v>
      </c>
      <c r="D26" s="30">
        <v>0</v>
      </c>
      <c r="E26" s="30">
        <v>0</v>
      </c>
    </row>
    <row r="27" spans="1:5">
      <c r="A27" s="30" t="s">
        <v>609</v>
      </c>
      <c r="B27" s="30">
        <v>1</v>
      </c>
      <c r="C27" s="30">
        <v>175</v>
      </c>
      <c r="D27" s="30">
        <v>6976</v>
      </c>
      <c r="E27" s="30">
        <v>7000</v>
      </c>
    </row>
    <row r="28" spans="1:5">
      <c r="A28" s="30" t="s">
        <v>969</v>
      </c>
      <c r="B28" s="30">
        <v>1</v>
      </c>
      <c r="C28" s="30">
        <v>5</v>
      </c>
      <c r="D28" s="30">
        <v>0</v>
      </c>
      <c r="E28" s="30">
        <v>0</v>
      </c>
    </row>
    <row r="29" spans="1:5">
      <c r="A29" s="30" t="s">
        <v>970</v>
      </c>
      <c r="B29" s="30">
        <v>1</v>
      </c>
      <c r="C29" s="30">
        <v>1</v>
      </c>
      <c r="D29" s="30">
        <v>0</v>
      </c>
      <c r="E29" s="30">
        <v>0</v>
      </c>
    </row>
    <row r="30" spans="1:5">
      <c r="A30" s="30" t="s">
        <v>581</v>
      </c>
      <c r="B30" s="30">
        <v>1</v>
      </c>
      <c r="C30" s="30">
        <v>2</v>
      </c>
      <c r="D30" s="30">
        <v>15</v>
      </c>
      <c r="E30" s="30">
        <v>30</v>
      </c>
    </row>
    <row r="31" spans="1:5">
      <c r="A31" s="30" t="s">
        <v>591</v>
      </c>
      <c r="B31" s="30">
        <v>1</v>
      </c>
      <c r="C31" s="30">
        <v>4</v>
      </c>
      <c r="D31" s="30">
        <v>95</v>
      </c>
      <c r="E31" s="30">
        <v>100</v>
      </c>
    </row>
    <row r="32" spans="1:5">
      <c r="A32" s="30" t="s">
        <v>582</v>
      </c>
      <c r="B32" s="30">
        <v>2</v>
      </c>
      <c r="C32" s="30">
        <v>427</v>
      </c>
      <c r="D32" s="30">
        <v>6555</v>
      </c>
      <c r="E32" s="30">
        <v>6420</v>
      </c>
    </row>
    <row r="33" spans="1:5">
      <c r="A33" s="30" t="s">
        <v>971</v>
      </c>
      <c r="B33" s="30">
        <v>2</v>
      </c>
      <c r="C33" s="30">
        <v>6</v>
      </c>
      <c r="D33" s="30">
        <v>0</v>
      </c>
      <c r="E33" s="30">
        <v>0</v>
      </c>
    </row>
    <row r="34" spans="1:5">
      <c r="A34" s="30" t="s">
        <v>972</v>
      </c>
      <c r="B34" s="30">
        <v>1</v>
      </c>
      <c r="C34" s="30">
        <v>47</v>
      </c>
      <c r="D34" s="30">
        <v>0</v>
      </c>
      <c r="E34" s="30">
        <v>0</v>
      </c>
    </row>
    <row r="35" spans="1:5">
      <c r="A35" s="30" t="s">
        <v>973</v>
      </c>
      <c r="B35" s="30">
        <v>1</v>
      </c>
      <c r="C35" s="30">
        <v>1</v>
      </c>
      <c r="D35" s="30">
        <v>0</v>
      </c>
      <c r="E35" s="30">
        <v>0</v>
      </c>
    </row>
    <row r="36" spans="1:5">
      <c r="A36" s="30" t="s">
        <v>974</v>
      </c>
      <c r="B36" s="30">
        <v>2</v>
      </c>
      <c r="C36" s="30">
        <v>2469</v>
      </c>
      <c r="D36" s="30">
        <v>0</v>
      </c>
      <c r="E36" s="30">
        <v>0</v>
      </c>
    </row>
    <row r="37" spans="1:5">
      <c r="A37" s="30" t="s">
        <v>975</v>
      </c>
      <c r="B37" s="30">
        <v>2</v>
      </c>
      <c r="C37" s="30">
        <v>93</v>
      </c>
      <c r="D37" s="30">
        <v>0</v>
      </c>
      <c r="E37" s="30">
        <v>0</v>
      </c>
    </row>
    <row r="38" spans="1:5">
      <c r="A38" s="30" t="s">
        <v>572</v>
      </c>
      <c r="B38" s="30">
        <v>1</v>
      </c>
      <c r="C38" s="30">
        <v>1</v>
      </c>
      <c r="D38" s="30">
        <v>6</v>
      </c>
      <c r="E38" s="30">
        <v>6</v>
      </c>
    </row>
    <row r="39" spans="1:5">
      <c r="A39" s="30" t="s">
        <v>976</v>
      </c>
      <c r="B39" s="30">
        <v>2</v>
      </c>
      <c r="C39" s="30">
        <v>152</v>
      </c>
      <c r="D39" s="30">
        <v>0</v>
      </c>
      <c r="E39" s="30">
        <v>0</v>
      </c>
    </row>
    <row r="40" spans="1:5">
      <c r="A40" s="30" t="s">
        <v>977</v>
      </c>
      <c r="B40" s="30">
        <v>1</v>
      </c>
      <c r="C40" s="30">
        <v>552</v>
      </c>
      <c r="D40" s="30">
        <v>0</v>
      </c>
      <c r="E40" s="30">
        <v>0</v>
      </c>
    </row>
    <row r="41" spans="1:5">
      <c r="A41" s="30" t="s">
        <v>978</v>
      </c>
      <c r="B41" s="30">
        <v>1</v>
      </c>
      <c r="C41" s="30">
        <v>370</v>
      </c>
      <c r="D41" s="30">
        <v>0</v>
      </c>
      <c r="E41" s="30">
        <v>0</v>
      </c>
    </row>
    <row r="42" spans="1:5">
      <c r="A42" s="30" t="s">
        <v>617</v>
      </c>
      <c r="B42" s="30">
        <v>2</v>
      </c>
      <c r="C42" s="30">
        <v>42</v>
      </c>
      <c r="D42" s="30">
        <v>840</v>
      </c>
      <c r="E42" s="30">
        <v>2940</v>
      </c>
    </row>
    <row r="43" spans="1:5">
      <c r="A43" s="30" t="s">
        <v>602</v>
      </c>
      <c r="B43" s="30">
        <v>2</v>
      </c>
      <c r="C43" s="30">
        <v>132</v>
      </c>
      <c r="D43" s="30">
        <v>1140</v>
      </c>
      <c r="E43" s="30">
        <v>3960</v>
      </c>
    </row>
    <row r="44" spans="1:5">
      <c r="A44" s="30" t="s">
        <v>583</v>
      </c>
      <c r="B44" s="30">
        <v>2</v>
      </c>
      <c r="C44" s="30">
        <v>242</v>
      </c>
      <c r="D44" s="30">
        <v>4455</v>
      </c>
      <c r="E44" s="30">
        <v>4515</v>
      </c>
    </row>
    <row r="45" spans="1:5">
      <c r="A45" s="30" t="s">
        <v>574</v>
      </c>
      <c r="B45" s="30">
        <v>1</v>
      </c>
      <c r="C45" s="30">
        <v>1</v>
      </c>
      <c r="D45" s="30">
        <v>10</v>
      </c>
      <c r="E45" s="30">
        <v>10</v>
      </c>
    </row>
    <row r="46" spans="1:5">
      <c r="A46" s="30" t="s">
        <v>610</v>
      </c>
      <c r="B46" s="30">
        <v>2</v>
      </c>
      <c r="C46" s="30">
        <v>86</v>
      </c>
      <c r="D46" s="30">
        <v>3898</v>
      </c>
      <c r="E46" s="30">
        <v>4005</v>
      </c>
    </row>
    <row r="47" spans="1:5">
      <c r="A47" s="30" t="s">
        <v>584</v>
      </c>
      <c r="B47" s="30">
        <v>2</v>
      </c>
      <c r="C47" s="30">
        <v>627</v>
      </c>
      <c r="D47" s="30">
        <v>11715</v>
      </c>
      <c r="E47" s="30">
        <v>11730</v>
      </c>
    </row>
    <row r="48" spans="1:5">
      <c r="A48" s="30" t="s">
        <v>592</v>
      </c>
      <c r="B48" s="30">
        <v>1</v>
      </c>
      <c r="C48" s="30">
        <v>81</v>
      </c>
      <c r="D48" s="30">
        <v>1920</v>
      </c>
      <c r="E48" s="30">
        <v>1920</v>
      </c>
    </row>
    <row r="49" spans="1:5">
      <c r="A49" s="30" t="s">
        <v>596</v>
      </c>
      <c r="B49" s="30">
        <v>1</v>
      </c>
      <c r="C49" s="30">
        <v>95</v>
      </c>
      <c r="D49" s="30">
        <v>2110</v>
      </c>
      <c r="E49" s="30">
        <v>2040</v>
      </c>
    </row>
    <row r="50" spans="1:5">
      <c r="A50" s="30" t="s">
        <v>575</v>
      </c>
      <c r="B50" s="30">
        <v>2</v>
      </c>
      <c r="C50" s="30">
        <v>1289</v>
      </c>
      <c r="D50" s="30">
        <v>17050</v>
      </c>
      <c r="E50" s="30">
        <v>16520</v>
      </c>
    </row>
    <row r="51" spans="1:5">
      <c r="A51" s="30" t="s">
        <v>979</v>
      </c>
      <c r="B51" s="30">
        <v>1</v>
      </c>
      <c r="C51" s="30">
        <v>230</v>
      </c>
      <c r="D51" s="30">
        <v>0</v>
      </c>
      <c r="E51" s="30">
        <v>0</v>
      </c>
    </row>
    <row r="52" spans="1:5">
      <c r="A52" s="30" t="s">
        <v>980</v>
      </c>
      <c r="B52" s="30">
        <v>1</v>
      </c>
      <c r="C52" s="30">
        <v>2</v>
      </c>
      <c r="D52" s="30">
        <v>0</v>
      </c>
      <c r="E52" s="30">
        <v>0</v>
      </c>
    </row>
    <row r="53" spans="1:5">
      <c r="A53" s="30" t="s">
        <v>981</v>
      </c>
      <c r="B53" s="30">
        <v>1</v>
      </c>
      <c r="C53" s="30">
        <v>315</v>
      </c>
      <c r="D53" s="30">
        <v>0</v>
      </c>
      <c r="E53" s="30">
        <v>0</v>
      </c>
    </row>
    <row r="54" spans="1:5">
      <c r="A54" s="30" t="s">
        <v>585</v>
      </c>
      <c r="B54" s="30">
        <v>1</v>
      </c>
      <c r="C54" s="30">
        <v>14</v>
      </c>
      <c r="D54" s="30">
        <v>195</v>
      </c>
      <c r="E54" s="30">
        <v>195</v>
      </c>
    </row>
    <row r="55" spans="1:5">
      <c r="A55" s="30" t="s">
        <v>598</v>
      </c>
      <c r="B55" s="30">
        <v>2</v>
      </c>
      <c r="C55" s="30">
        <v>133</v>
      </c>
      <c r="D55" s="30">
        <v>3750</v>
      </c>
      <c r="E55" s="30">
        <v>3700</v>
      </c>
    </row>
    <row r="56" spans="1:5">
      <c r="A56" s="30" t="s">
        <v>576</v>
      </c>
      <c r="B56" s="30">
        <v>2</v>
      </c>
      <c r="C56" s="30">
        <v>978</v>
      </c>
      <c r="D56" s="30">
        <v>13140</v>
      </c>
      <c r="E56" s="30">
        <v>12770</v>
      </c>
    </row>
    <row r="57" spans="1:5">
      <c r="A57" s="30" t="s">
        <v>593</v>
      </c>
      <c r="B57" s="30">
        <v>2</v>
      </c>
      <c r="C57" s="30">
        <v>35</v>
      </c>
      <c r="D57" s="30">
        <v>800</v>
      </c>
      <c r="E57" s="30">
        <v>800</v>
      </c>
    </row>
    <row r="58" spans="1:5">
      <c r="A58" s="30" t="s">
        <v>586</v>
      </c>
      <c r="B58" s="30">
        <v>2</v>
      </c>
      <c r="C58" s="30">
        <v>50</v>
      </c>
      <c r="D58" s="30">
        <v>870</v>
      </c>
      <c r="E58" s="30">
        <v>900</v>
      </c>
    </row>
    <row r="59" spans="1:5">
      <c r="A59" s="30" t="s">
        <v>982</v>
      </c>
      <c r="B59" s="30">
        <v>1</v>
      </c>
      <c r="C59" s="30">
        <v>2</v>
      </c>
      <c r="D59" s="30">
        <v>0</v>
      </c>
      <c r="E59" s="30">
        <v>0</v>
      </c>
    </row>
    <row r="60" spans="1:5">
      <c r="A60" s="30" t="s">
        <v>983</v>
      </c>
      <c r="B60" s="30">
        <v>1</v>
      </c>
      <c r="C60" s="30">
        <v>1</v>
      </c>
      <c r="D60" s="30">
        <v>0</v>
      </c>
      <c r="E60" s="30">
        <v>0</v>
      </c>
    </row>
    <row r="61" spans="1:5">
      <c r="A61" s="30" t="s">
        <v>618</v>
      </c>
      <c r="B61" s="30">
        <v>1</v>
      </c>
      <c r="C61" s="30">
        <v>1</v>
      </c>
      <c r="D61" s="30">
        <v>70</v>
      </c>
      <c r="E61" s="30">
        <v>70</v>
      </c>
    </row>
    <row r="62" spans="1:5">
      <c r="A62" s="30" t="s">
        <v>606</v>
      </c>
      <c r="B62" s="30">
        <v>1</v>
      </c>
      <c r="C62" s="30">
        <v>188</v>
      </c>
      <c r="D62" s="30">
        <v>7460</v>
      </c>
      <c r="E62" s="30">
        <v>7480</v>
      </c>
    </row>
    <row r="63" spans="1:5">
      <c r="A63" s="30" t="s">
        <v>984</v>
      </c>
      <c r="B63" s="30">
        <v>1</v>
      </c>
      <c r="C63" s="30">
        <v>70</v>
      </c>
      <c r="D63" s="30">
        <v>0</v>
      </c>
      <c r="E63" s="30">
        <v>0</v>
      </c>
    </row>
    <row r="64" spans="1:5">
      <c r="A64" s="30" t="s">
        <v>577</v>
      </c>
      <c r="B64" s="30">
        <v>1</v>
      </c>
      <c r="C64" s="30">
        <v>1</v>
      </c>
      <c r="D64" s="30">
        <v>20</v>
      </c>
      <c r="E64" s="30">
        <v>10</v>
      </c>
    </row>
    <row r="65" spans="1:5">
      <c r="A65" s="30" t="s">
        <v>985</v>
      </c>
      <c r="B65" s="30">
        <v>1</v>
      </c>
      <c r="C65" s="30">
        <v>8</v>
      </c>
      <c r="D65" s="30">
        <v>0</v>
      </c>
      <c r="E65" s="30">
        <v>0</v>
      </c>
    </row>
    <row r="66" spans="1:5">
      <c r="A66" s="30" t="s">
        <v>578</v>
      </c>
      <c r="B66" s="30">
        <v>2</v>
      </c>
      <c r="C66" s="30">
        <v>99</v>
      </c>
      <c r="D66" s="30">
        <v>1150</v>
      </c>
      <c r="E66" s="30">
        <v>1050</v>
      </c>
    </row>
    <row r="67" spans="1:5">
      <c r="A67" s="30" t="s">
        <v>986</v>
      </c>
      <c r="B67" s="30">
        <v>2</v>
      </c>
      <c r="C67" s="30">
        <v>111</v>
      </c>
      <c r="D67" s="30">
        <v>0</v>
      </c>
      <c r="E67" s="30">
        <v>0</v>
      </c>
    </row>
    <row r="68" spans="1:5">
      <c r="A68" s="30" t="s">
        <v>587</v>
      </c>
      <c r="B68" s="30">
        <v>2</v>
      </c>
      <c r="C68" s="30">
        <v>422</v>
      </c>
      <c r="D68" s="30">
        <v>8235</v>
      </c>
      <c r="E68" s="30">
        <v>8235</v>
      </c>
    </row>
    <row r="69" spans="1:5">
      <c r="A69" s="30" t="s">
        <v>579</v>
      </c>
      <c r="B69" s="30">
        <v>2</v>
      </c>
      <c r="C69" s="30">
        <v>122</v>
      </c>
      <c r="D69" s="30">
        <v>1470</v>
      </c>
      <c r="E69" s="30">
        <v>1470</v>
      </c>
    </row>
    <row r="70" spans="1:5">
      <c r="A70" s="30" t="s">
        <v>594</v>
      </c>
      <c r="B70" s="30">
        <v>1</v>
      </c>
      <c r="C70" s="30">
        <v>6</v>
      </c>
      <c r="D70" s="30">
        <v>120</v>
      </c>
      <c r="E70" s="30">
        <v>120</v>
      </c>
    </row>
    <row r="71" spans="1:5">
      <c r="A71" s="30" t="s">
        <v>589</v>
      </c>
      <c r="B71" s="30">
        <v>2</v>
      </c>
      <c r="C71" s="30">
        <v>24</v>
      </c>
      <c r="D71" s="30">
        <v>780</v>
      </c>
      <c r="E71" s="30">
        <v>1045</v>
      </c>
    </row>
    <row r="72" spans="1:5">
      <c r="A72" s="30" t="s">
        <v>580</v>
      </c>
      <c r="B72" s="30">
        <v>2</v>
      </c>
      <c r="C72" s="30">
        <v>9</v>
      </c>
      <c r="D72" s="30">
        <v>120</v>
      </c>
      <c r="E72" s="30">
        <v>120</v>
      </c>
    </row>
    <row r="73" spans="1:5">
      <c r="A73" s="30" t="s">
        <v>588</v>
      </c>
      <c r="B73" s="30">
        <v>1</v>
      </c>
      <c r="C73" s="30">
        <v>51</v>
      </c>
      <c r="D73" s="30">
        <v>1065</v>
      </c>
      <c r="E73" s="30">
        <v>1065</v>
      </c>
    </row>
    <row r="74" spans="1:5">
      <c r="A74" s="30" t="s">
        <v>987</v>
      </c>
      <c r="B74" s="30">
        <v>1</v>
      </c>
      <c r="C74" s="30">
        <v>60</v>
      </c>
      <c r="D74" s="30">
        <v>0</v>
      </c>
      <c r="E74" s="3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2A92-A508-482C-B66C-36A04EA2FB5D}">
  <dimension ref="A1:E4"/>
  <sheetViews>
    <sheetView workbookViewId="0">
      <selection activeCell="H7" sqref="H7"/>
    </sheetView>
  </sheetViews>
  <sheetFormatPr defaultRowHeight="15"/>
  <cols>
    <col min="4" max="4" width="13.5703125" customWidth="1"/>
    <col min="5" max="5" width="18" customWidth="1"/>
  </cols>
  <sheetData>
    <row r="1" spans="1:5">
      <c r="A1" s="28" t="s">
        <v>469</v>
      </c>
      <c r="B1" s="29" t="s">
        <v>988</v>
      </c>
      <c r="C1" s="29" t="s">
        <v>989</v>
      </c>
      <c r="D1" s="29" t="s">
        <v>990</v>
      </c>
      <c r="E1" s="29" t="s">
        <v>991</v>
      </c>
    </row>
    <row r="2" spans="1:5">
      <c r="A2" s="30" t="s">
        <v>621</v>
      </c>
      <c r="B2" s="30">
        <v>1424492.4</v>
      </c>
      <c r="C2" s="30">
        <v>1424353</v>
      </c>
      <c r="D2" s="30">
        <v>1422805</v>
      </c>
      <c r="E2" s="30">
        <v>1423005</v>
      </c>
    </row>
    <row r="3" spans="1:5">
      <c r="A3" s="30" t="s">
        <v>626</v>
      </c>
      <c r="B3" s="30">
        <v>81735.25</v>
      </c>
      <c r="C3" s="30">
        <v>81735.25</v>
      </c>
      <c r="D3" s="30">
        <v>90554</v>
      </c>
      <c r="E3" s="30">
        <v>77330.75</v>
      </c>
    </row>
    <row r="4" spans="1:5">
      <c r="A4" s="30" t="s">
        <v>992</v>
      </c>
      <c r="B4" s="30">
        <v>1587.39</v>
      </c>
      <c r="C4" s="30">
        <v>1587.39</v>
      </c>
      <c r="D4" s="30">
        <v>0</v>
      </c>
      <c r="E4" s="3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EC88-5696-4704-AC18-05193F26F075}">
  <dimension ref="A1:B21"/>
  <sheetViews>
    <sheetView workbookViewId="0"/>
  </sheetViews>
  <sheetFormatPr defaultRowHeight="15"/>
  <sheetData>
    <row r="1" spans="1:2">
      <c r="A1" s="28" t="s">
        <v>993</v>
      </c>
      <c r="B1" s="29" t="s">
        <v>990</v>
      </c>
    </row>
    <row r="2" spans="1:2">
      <c r="A2" s="30" t="s">
        <v>714</v>
      </c>
      <c r="B2" s="30">
        <v>342924</v>
      </c>
    </row>
    <row r="3" spans="1:2">
      <c r="A3" s="30" t="s">
        <v>713</v>
      </c>
      <c r="B3" s="30">
        <v>168056</v>
      </c>
    </row>
    <row r="4" spans="1:2">
      <c r="A4" s="30" t="s">
        <v>708</v>
      </c>
      <c r="B4" s="30">
        <v>119000</v>
      </c>
    </row>
    <row r="5" spans="1:2">
      <c r="A5" s="30" t="s">
        <v>707</v>
      </c>
      <c r="B5" s="30">
        <v>61560</v>
      </c>
    </row>
    <row r="6" spans="1:2">
      <c r="A6" s="30" t="s">
        <v>709</v>
      </c>
      <c r="B6" s="30">
        <v>60560</v>
      </c>
    </row>
    <row r="7" spans="1:2">
      <c r="A7" s="30" t="s">
        <v>844</v>
      </c>
      <c r="B7" s="30">
        <v>50780</v>
      </c>
    </row>
    <row r="8" spans="1:2">
      <c r="A8" s="30" t="s">
        <v>797</v>
      </c>
      <c r="B8" s="30">
        <v>46852</v>
      </c>
    </row>
    <row r="9" spans="1:2">
      <c r="A9" s="30" t="s">
        <v>842</v>
      </c>
      <c r="B9" s="30">
        <v>40155</v>
      </c>
    </row>
    <row r="10" spans="1:2">
      <c r="A10" s="30" t="s">
        <v>938</v>
      </c>
      <c r="B10" s="30">
        <v>32780</v>
      </c>
    </row>
    <row r="11" spans="1:2">
      <c r="A11" s="30" t="s">
        <v>994</v>
      </c>
      <c r="B11" s="30">
        <v>31644</v>
      </c>
    </row>
    <row r="12" spans="1:2">
      <c r="A12" s="30" t="s">
        <v>939</v>
      </c>
      <c r="B12" s="30">
        <v>29136</v>
      </c>
    </row>
    <row r="13" spans="1:2">
      <c r="A13" s="30" t="s">
        <v>922</v>
      </c>
      <c r="B13" s="30">
        <v>25256</v>
      </c>
    </row>
    <row r="14" spans="1:2">
      <c r="A14" s="30" t="s">
        <v>788</v>
      </c>
      <c r="B14" s="30">
        <v>24711</v>
      </c>
    </row>
    <row r="15" spans="1:2">
      <c r="A15" s="30" t="s">
        <v>782</v>
      </c>
      <c r="B15" s="30">
        <v>24492</v>
      </c>
    </row>
    <row r="16" spans="1:2">
      <c r="A16" s="30" t="s">
        <v>921</v>
      </c>
      <c r="B16" s="30">
        <v>18575</v>
      </c>
    </row>
    <row r="17" spans="1:2">
      <c r="A17" s="30" t="s">
        <v>704</v>
      </c>
      <c r="B17" s="30">
        <v>15824</v>
      </c>
    </row>
    <row r="18" spans="1:2">
      <c r="A18" s="30" t="s">
        <v>705</v>
      </c>
      <c r="B18" s="30">
        <v>14136</v>
      </c>
    </row>
    <row r="19" spans="1:2">
      <c r="A19" s="30" t="s">
        <v>706</v>
      </c>
      <c r="B19" s="30">
        <v>14050</v>
      </c>
    </row>
    <row r="20" spans="1:2">
      <c r="A20" s="30" t="s">
        <v>874</v>
      </c>
      <c r="B20" s="30">
        <v>13242</v>
      </c>
    </row>
    <row r="21" spans="1:2">
      <c r="A21" s="30" t="s">
        <v>873</v>
      </c>
      <c r="B21" s="30">
        <v>12176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F5B35E4BCAA4B973207B20DFA2031" ma:contentTypeVersion="5" ma:contentTypeDescription="Create a new document." ma:contentTypeScope="" ma:versionID="5db6a33f9df4c8e11ef38dd20e744e3b">
  <xsd:schema xmlns:xsd="http://www.w3.org/2001/XMLSchema" xmlns:xs="http://www.w3.org/2001/XMLSchema" xmlns:p="http://schemas.microsoft.com/office/2006/metadata/properties" xmlns:ns3="c58316cd-92f2-4e68-b6b1-24e4fb610373" targetNamespace="http://schemas.microsoft.com/office/2006/metadata/properties" ma:root="true" ma:fieldsID="5e232f464e01208d9c4c31e29f9a525d" ns3:_="">
    <xsd:import namespace="c58316cd-92f2-4e68-b6b1-24e4fb61037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316cd-92f2-4e68-b6b1-24e4fb61037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8316cd-92f2-4e68-b6b1-24e4fb610373" xsi:nil="true"/>
  </documentManagement>
</p:properties>
</file>

<file path=customXml/itemProps1.xml><?xml version="1.0" encoding="utf-8"?>
<ds:datastoreItem xmlns:ds="http://schemas.openxmlformats.org/officeDocument/2006/customXml" ds:itemID="{F6C4B003-40FC-4848-8D33-A5E6693FDCC4}"/>
</file>

<file path=customXml/itemProps2.xml><?xml version="1.0" encoding="utf-8"?>
<ds:datastoreItem xmlns:ds="http://schemas.openxmlformats.org/officeDocument/2006/customXml" ds:itemID="{1221434A-B66F-4A92-8E40-02F4DCF4C7B2}"/>
</file>

<file path=customXml/itemProps3.xml><?xml version="1.0" encoding="utf-8"?>
<ds:datastoreItem xmlns:ds="http://schemas.openxmlformats.org/officeDocument/2006/customXml" ds:itemID="{1001407A-0DBC-435F-8740-94900F975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2025-10-17T05:31:35Z</dcterms:created>
  <dcterms:modified xsi:type="dcterms:W3CDTF">2025-11-21T19:56:37Z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0x0101002C4F5B35E4BCAA4B973207B20DFA2031</vt:lpwstr>
  </property>
</Properties>
</file>